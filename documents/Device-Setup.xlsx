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humini\Group-Projects\MilkGuard-Ecosystem\documents\"/>
    </mc:Choice>
  </mc:AlternateContent>
  <xr:revisionPtr revIDLastSave="0" documentId="13_ncr:1_{C7C43F19-4D6B-45B0-927C-18D741541D76}" xr6:coauthVersionLast="47" xr6:coauthVersionMax="47" xr10:uidLastSave="{00000000-0000-0000-0000-000000000000}"/>
  <bookViews>
    <workbookView xWindow="-108" yWindow="-108" windowWidth="23256" windowHeight="12456" activeTab="1" xr2:uid="{A156ED5C-A852-4E5B-A378-E761FCF79247}"/>
  </bookViews>
  <sheets>
    <sheet name="BOM" sheetId="2" r:id="rId1"/>
    <sheet name="Pin Alloc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<sst xmlns="http://schemas.openxmlformats.org/spreadsheetml/2006/main" count="126" uniqueCount="75">
  <si>
    <t>Component</t>
  </si>
  <si>
    <t>Wire Color</t>
  </si>
  <si>
    <t>Component Pin</t>
  </si>
  <si>
    <t>ESP32 Pin</t>
  </si>
  <si>
    <t>Type</t>
  </si>
  <si>
    <t>Red</t>
  </si>
  <si>
    <t>Black</t>
  </si>
  <si>
    <t>Power</t>
  </si>
  <si>
    <t>GND</t>
  </si>
  <si>
    <t>White</t>
  </si>
  <si>
    <t>Yellow</t>
  </si>
  <si>
    <t>Purple</t>
  </si>
  <si>
    <t>VCC</t>
  </si>
  <si>
    <t>LCD Display</t>
  </si>
  <si>
    <t>5V</t>
  </si>
  <si>
    <t>SDA</t>
  </si>
  <si>
    <t>SCL</t>
  </si>
  <si>
    <t>V+</t>
  </si>
  <si>
    <t>G</t>
  </si>
  <si>
    <t>Po</t>
  </si>
  <si>
    <t>3.3V</t>
  </si>
  <si>
    <t>4502C pH Sensor</t>
  </si>
  <si>
    <t>A0</t>
  </si>
  <si>
    <t xml:space="preserve">3.3V </t>
  </si>
  <si>
    <t>MQ-135 Gas Sensor</t>
  </si>
  <si>
    <t>DS18B20 Temperature Sensor</t>
  </si>
  <si>
    <t>Data</t>
  </si>
  <si>
    <t>Analog</t>
  </si>
  <si>
    <t xml:space="preserve">Quantity </t>
  </si>
  <si>
    <t>Unit Cost (LKR)</t>
  </si>
  <si>
    <t>Total (LKR)</t>
  </si>
  <si>
    <t>ESP 32 Development Module (30-PIN)</t>
  </si>
  <si>
    <t>ESP 32 Base Board (30-PIN)</t>
  </si>
  <si>
    <t>1 set</t>
  </si>
  <si>
    <t>Jumper Wires (Female-Female)</t>
  </si>
  <si>
    <t xml:space="preserve">Miscellaneous </t>
  </si>
  <si>
    <t>*</t>
  </si>
  <si>
    <t>Total Budget (LKR) :</t>
  </si>
  <si>
    <t>Breadboard</t>
  </si>
  <si>
    <t>Resistors 4.7kΩ</t>
  </si>
  <si>
    <t>i2C LCD Display</t>
  </si>
  <si>
    <t>Jumper Wires (Male-Female)</t>
  </si>
  <si>
    <t>Jumper Wires (Male-Male)</t>
  </si>
  <si>
    <t>3.3V (Resistor)</t>
  </si>
  <si>
    <t>Ground</t>
  </si>
  <si>
    <t>(+) Rail</t>
  </si>
  <si>
    <t>(-) Rail</t>
  </si>
  <si>
    <t>Green</t>
  </si>
  <si>
    <t>Data Line</t>
  </si>
  <si>
    <t>Clock Line</t>
  </si>
  <si>
    <t>RFID Module (RC-522) Kit</t>
  </si>
  <si>
    <t>RFID Card</t>
  </si>
  <si>
    <t>D 21</t>
  </si>
  <si>
    <t>D 22</t>
  </si>
  <si>
    <t>D 34</t>
  </si>
  <si>
    <t>D 35</t>
  </si>
  <si>
    <t>Orange</t>
  </si>
  <si>
    <t>RST</t>
  </si>
  <si>
    <t>D 27</t>
  </si>
  <si>
    <t>Blue</t>
  </si>
  <si>
    <t>Brown</t>
  </si>
  <si>
    <t>SCK</t>
  </si>
  <si>
    <t>MOSI</t>
  </si>
  <si>
    <t>MISO</t>
  </si>
  <si>
    <t>IRQ</t>
  </si>
  <si>
    <t>D 19</t>
  </si>
  <si>
    <t>D 18</t>
  </si>
  <si>
    <t>D 5</t>
  </si>
  <si>
    <t>Reset/Reboot</t>
  </si>
  <si>
    <t>Interrupt Request</t>
  </si>
  <si>
    <t>RFID Module (RC-522)</t>
  </si>
  <si>
    <t>Chip Select</t>
  </si>
  <si>
    <t>-</t>
  </si>
  <si>
    <t>D 23</t>
  </si>
  <si>
    <t>D 15 (Resistor)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</si>
</sst>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" fillId="0" borderId="19" xfId="0" applyFont="1" applyBorder="1"/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B4F8-0BCB-46E4-AE2F-A1DBBC612D71}">
  <dimension ref="A1:D16"/>
  <sheetViews>
    <sheetView zoomScale="89" workbookViewId="0">
      <selection activeCell="N18" sqref="N18"/>
    </sheetView>
  </sheetViews>
  <sheetFormatPr defaultRowHeight="14.4" x14ac:dyDescent="0.3"/>
  <cols>
    <col min="1" max="1" width="47.6640625" customWidth="1"/>
    <col min="2" max="2" width="15.6640625" customWidth="1"/>
    <col min="3" max="3" width="20.44140625" customWidth="1"/>
    <col min="4" max="4" width="18.44140625" customWidth="1"/>
  </cols>
  <sheetData>
    <row r="1" spans="1:4" ht="21.6" thickBot="1" x14ac:dyDescent="0.35">
      <c r="A1" s="2" t="s">
        <v>0</v>
      </c>
      <c r="B1" s="3" t="s">
        <v>28</v>
      </c>
      <c r="C1" s="3" t="s">
        <v>29</v>
      </c>
      <c r="D1" s="4" t="s">
        <v>30</v>
      </c>
    </row>
    <row r="2" spans="1:4" ht="21" x14ac:dyDescent="0.3">
      <c r="A2" s="5" t="s">
        <v>31</v>
      </c>
      <c r="B2" s="6">
        <v>1</v>
      </c>
      <c r="C2" s="7">
        <v>1350</v>
      </c>
      <c r="D2" s="8">
        <v>1350</v>
      </c>
    </row>
    <row r="3" spans="1:4" ht="21" x14ac:dyDescent="0.3">
      <c r="A3" s="9" t="s">
        <v>32</v>
      </c>
      <c r="B3" s="10">
        <v>1</v>
      </c>
      <c r="C3" s="11">
        <v>450</v>
      </c>
      <c r="D3" s="12">
        <v>450</v>
      </c>
    </row>
    <row r="4" spans="1:4" ht="21" x14ac:dyDescent="0.3">
      <c r="A4" s="9" t="s">
        <v>38</v>
      </c>
      <c r="B4" s="10">
        <v>1</v>
      </c>
      <c r="C4" s="11">
        <v>200</v>
      </c>
      <c r="D4" s="12">
        <v>200</v>
      </c>
    </row>
    <row r="5" spans="1:4" ht="21" x14ac:dyDescent="0.3">
      <c r="A5" s="9" t="s">
        <v>21</v>
      </c>
      <c r="B5" s="10">
        <v>1</v>
      </c>
      <c r="C5" s="11">
        <v>3800</v>
      </c>
      <c r="D5" s="12">
        <v>3800</v>
      </c>
    </row>
    <row r="6" spans="1:4" ht="21" x14ac:dyDescent="0.3">
      <c r="A6" s="9" t="s">
        <v>25</v>
      </c>
      <c r="B6" s="10">
        <v>1</v>
      </c>
      <c r="C6" s="11">
        <v>250</v>
      </c>
      <c r="D6" s="12">
        <v>250</v>
      </c>
    </row>
    <row r="7" spans="1:4" ht="21" x14ac:dyDescent="0.3">
      <c r="A7" s="9" t="s">
        <v>24</v>
      </c>
      <c r="B7" s="10">
        <v>1</v>
      </c>
      <c r="C7" s="11">
        <v>400</v>
      </c>
      <c r="D7" s="12">
        <v>400</v>
      </c>
    </row>
    <row r="8" spans="1:4" ht="21" x14ac:dyDescent="0.3">
      <c r="A8" s="9" t="s">
        <v>50</v>
      </c>
      <c r="B8" s="10">
        <v>1</v>
      </c>
      <c r="C8" s="11">
        <v>300</v>
      </c>
      <c r="D8" s="12">
        <v>300</v>
      </c>
    </row>
    <row r="9" spans="1:4" ht="21" x14ac:dyDescent="0.3">
      <c r="A9" s="9" t="s">
        <v>51</v>
      </c>
      <c r="B9" s="10">
        <v>2</v>
      </c>
      <c r="C9" s="11">
        <v>50</v>
      </c>
      <c r="D9" s="12">
        <v>100</v>
      </c>
    </row>
    <row r="10" spans="1:4" ht="21" x14ac:dyDescent="0.3">
      <c r="A10" s="9" t="s">
        <v>40</v>
      </c>
      <c r="B10" s="10">
        <v>1</v>
      </c>
      <c r="C10" s="11">
        <v>550</v>
      </c>
      <c r="D10" s="12">
        <v>550</v>
      </c>
    </row>
    <row r="11" spans="1:4" ht="21" x14ac:dyDescent="0.3">
      <c r="A11" s="9" t="s">
        <v>39</v>
      </c>
      <c r="B11" s="10">
        <v>5</v>
      </c>
      <c r="C11" s="11">
        <v>10</v>
      </c>
      <c r="D11" s="12">
        <v>10</v>
      </c>
    </row>
    <row r="12" spans="1:4" ht="21" x14ac:dyDescent="0.3">
      <c r="A12" s="9" t="s">
        <v>42</v>
      </c>
      <c r="B12" s="10" t="s">
        <v>33</v>
      </c>
      <c r="C12" s="15">
        <v>150</v>
      </c>
      <c r="D12" s="16">
        <v>150</v>
      </c>
    </row>
    <row r="13" spans="1:4" ht="21" x14ac:dyDescent="0.3">
      <c r="A13" s="9" t="s">
        <v>34</v>
      </c>
      <c r="B13" s="10" t="s">
        <v>33</v>
      </c>
      <c r="C13" s="11">
        <v>150</v>
      </c>
      <c r="D13" s="12">
        <v>150</v>
      </c>
    </row>
    <row r="14" spans="1:4" ht="21" x14ac:dyDescent="0.3">
      <c r="A14" s="9" t="s">
        <v>41</v>
      </c>
      <c r="B14" s="10" t="s">
        <v>33</v>
      </c>
      <c r="C14" s="15">
        <v>150</v>
      </c>
      <c r="D14" s="16">
        <v>150</v>
      </c>
    </row>
    <row r="15" spans="1:4" ht="21.6" thickBot="1" x14ac:dyDescent="0.35">
      <c r="A15" s="13" t="s">
        <v>35</v>
      </c>
      <c r="B15" s="14" t="s">
        <v>36</v>
      </c>
      <c r="C15" s="15"/>
      <c r="D15" s="16">
        <v>5000</v>
      </c>
    </row>
    <row r="16" spans="1:4" ht="21.6" thickBot="1" x14ac:dyDescent="0.45">
      <c r="A16" s="29" t="s">
        <v>37</v>
      </c>
      <c r="B16" s="30"/>
      <c r="C16" s="31"/>
      <c r="D16" s="17">
        <f>SUM(D2:D15)</f>
        <v>12860</v>
      </c>
    </row>
  </sheetData>
  <mergeCells count="1"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BAD4-0388-4BB7-AE7B-E940355EBE09}">
  <dimension ref="A1:T43"/>
  <sheetViews>
    <sheetView tabSelected="1" zoomScale="55" workbookViewId="0">
      <selection activeCell="D36" sqref="D36"/>
    </sheetView>
  </sheetViews>
  <sheetFormatPr defaultRowHeight="14.4" x14ac:dyDescent="0.3"/>
  <cols>
    <col min="1" max="1" width="27.77734375" customWidth="1"/>
    <col min="2" max="3" width="30.88671875" customWidth="1"/>
    <col min="4" max="4" width="31.88671875" customWidth="1"/>
    <col min="5" max="5" width="32.109375" customWidth="1"/>
    <col min="6" max="6" width="27.77734375" customWidth="1"/>
  </cols>
  <sheetData>
    <row r="1" spans="1:20" ht="33.6" customHeight="1" thickBot="1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G1" s="32" t="e" vm="1">
        <v>#VALUE!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 x14ac:dyDescent="0.3">
      <c r="A2" s="26" t="s">
        <v>13</v>
      </c>
      <c r="B2" s="20" t="s">
        <v>5</v>
      </c>
      <c r="C2" s="20" t="s">
        <v>12</v>
      </c>
      <c r="D2" s="20" t="s">
        <v>14</v>
      </c>
      <c r="E2" s="20" t="s">
        <v>7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x14ac:dyDescent="0.3">
      <c r="A3" s="27"/>
      <c r="B3" s="20" t="s">
        <v>6</v>
      </c>
      <c r="C3" s="20" t="s">
        <v>8</v>
      </c>
      <c r="D3" s="20" t="s">
        <v>8</v>
      </c>
      <c r="E3" s="20" t="s">
        <v>44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x14ac:dyDescent="0.3">
      <c r="A4" s="27"/>
      <c r="B4" s="20" t="s">
        <v>11</v>
      </c>
      <c r="C4" s="20" t="s">
        <v>15</v>
      </c>
      <c r="D4" s="20" t="s">
        <v>52</v>
      </c>
      <c r="E4" s="20" t="s">
        <v>48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5" thickBot="1" x14ac:dyDescent="0.35">
      <c r="A5" s="28"/>
      <c r="B5" s="21" t="s">
        <v>9</v>
      </c>
      <c r="C5" s="21" t="s">
        <v>16</v>
      </c>
      <c r="D5" s="21" t="s">
        <v>53</v>
      </c>
      <c r="E5" s="21" t="s">
        <v>49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x14ac:dyDescent="0.3">
      <c r="A6" s="26" t="s">
        <v>21</v>
      </c>
      <c r="B6" s="19" t="s">
        <v>5</v>
      </c>
      <c r="C6" s="19" t="s">
        <v>17</v>
      </c>
      <c r="D6" s="19" t="s">
        <v>20</v>
      </c>
      <c r="E6" s="19" t="s">
        <v>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x14ac:dyDescent="0.3">
      <c r="A7" s="27"/>
      <c r="B7" s="20" t="s">
        <v>6</v>
      </c>
      <c r="C7" s="20" t="s">
        <v>18</v>
      </c>
      <c r="D7" s="20" t="s">
        <v>8</v>
      </c>
      <c r="E7" s="20" t="s">
        <v>44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1:20" ht="15" thickBot="1" x14ac:dyDescent="0.35">
      <c r="A8" s="28"/>
      <c r="B8" s="21" t="s">
        <v>9</v>
      </c>
      <c r="C8" s="21" t="s">
        <v>19</v>
      </c>
      <c r="D8" s="21" t="s">
        <v>54</v>
      </c>
      <c r="E8" s="21" t="s">
        <v>27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1:20" x14ac:dyDescent="0.3">
      <c r="A9" s="26" t="s">
        <v>24</v>
      </c>
      <c r="B9" s="19" t="s">
        <v>5</v>
      </c>
      <c r="C9" s="19" t="s">
        <v>12</v>
      </c>
      <c r="D9" s="19" t="s">
        <v>23</v>
      </c>
      <c r="E9" s="19" t="s">
        <v>7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1:20" x14ac:dyDescent="0.3">
      <c r="A10" s="27"/>
      <c r="B10" s="20" t="s">
        <v>6</v>
      </c>
      <c r="C10" s="20" t="s">
        <v>8</v>
      </c>
      <c r="D10" s="20" t="s">
        <v>8</v>
      </c>
      <c r="E10" s="20" t="s">
        <v>44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0" ht="15" thickBot="1" x14ac:dyDescent="0.35">
      <c r="A11" s="28"/>
      <c r="B11" s="21" t="s">
        <v>9</v>
      </c>
      <c r="C11" s="21" t="s">
        <v>22</v>
      </c>
      <c r="D11" s="21" t="s">
        <v>55</v>
      </c>
      <c r="E11" s="21" t="s">
        <v>27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spans="1:20" x14ac:dyDescent="0.3">
      <c r="A12" s="26" t="s">
        <v>25</v>
      </c>
      <c r="B12" s="19" t="s">
        <v>5</v>
      </c>
      <c r="C12" s="19" t="s">
        <v>12</v>
      </c>
      <c r="D12" s="19" t="s">
        <v>43</v>
      </c>
      <c r="E12" s="19" t="s">
        <v>7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 x14ac:dyDescent="0.3">
      <c r="A13" s="27"/>
      <c r="B13" s="20" t="s">
        <v>6</v>
      </c>
      <c r="C13" s="20" t="s">
        <v>8</v>
      </c>
      <c r="D13" s="20" t="s">
        <v>8</v>
      </c>
      <c r="E13" s="20" t="s">
        <v>44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spans="1:20" ht="15" thickBot="1" x14ac:dyDescent="0.35">
      <c r="A14" s="28"/>
      <c r="B14" s="21" t="s">
        <v>10</v>
      </c>
      <c r="C14" s="21" t="s">
        <v>26</v>
      </c>
      <c r="D14" s="21" t="s">
        <v>74</v>
      </c>
      <c r="E14" s="21" t="s">
        <v>26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spans="1:20" x14ac:dyDescent="0.3">
      <c r="A15" s="26" t="s">
        <v>70</v>
      </c>
      <c r="B15" s="20" t="s">
        <v>5</v>
      </c>
      <c r="C15" s="20" t="s">
        <v>20</v>
      </c>
      <c r="D15" s="20" t="s">
        <v>20</v>
      </c>
      <c r="E15" s="20" t="s">
        <v>7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</row>
    <row r="16" spans="1:20" x14ac:dyDescent="0.3">
      <c r="A16" s="27"/>
      <c r="B16" s="20" t="s">
        <v>56</v>
      </c>
      <c r="C16" s="20" t="s">
        <v>57</v>
      </c>
      <c r="D16" s="20" t="s">
        <v>58</v>
      </c>
      <c r="E16" s="20" t="s">
        <v>68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17" spans="1:20" x14ac:dyDescent="0.3">
      <c r="A17" s="27"/>
      <c r="B17" s="20" t="s">
        <v>47</v>
      </c>
      <c r="C17" s="20" t="s">
        <v>8</v>
      </c>
      <c r="D17" s="20" t="s">
        <v>8</v>
      </c>
      <c r="E17" s="20" t="s">
        <v>44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spans="1:20" x14ac:dyDescent="0.3">
      <c r="A18" s="27"/>
      <c r="B18" s="20" t="s">
        <v>72</v>
      </c>
      <c r="C18" s="20" t="s">
        <v>64</v>
      </c>
      <c r="D18" s="20" t="s">
        <v>72</v>
      </c>
      <c r="E18" s="25" t="s">
        <v>69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</row>
    <row r="19" spans="1:20" x14ac:dyDescent="0.3">
      <c r="A19" s="27"/>
      <c r="B19" s="20" t="s">
        <v>47</v>
      </c>
      <c r="C19" s="20" t="s">
        <v>63</v>
      </c>
      <c r="D19" s="20" t="s">
        <v>65</v>
      </c>
      <c r="E19" s="20" t="s">
        <v>48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spans="1:20" x14ac:dyDescent="0.3">
      <c r="A20" s="27"/>
      <c r="B20" s="20" t="s">
        <v>10</v>
      </c>
      <c r="C20" s="20" t="s">
        <v>62</v>
      </c>
      <c r="D20" s="20" t="s">
        <v>73</v>
      </c>
      <c r="E20" s="20" t="s">
        <v>48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spans="1:20" x14ac:dyDescent="0.3">
      <c r="A21" s="27"/>
      <c r="B21" s="20" t="s">
        <v>59</v>
      </c>
      <c r="C21" s="20" t="s">
        <v>61</v>
      </c>
      <c r="D21" s="20" t="s">
        <v>66</v>
      </c>
      <c r="E21" s="20" t="s">
        <v>49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spans="1:20" ht="15" thickBot="1" x14ac:dyDescent="0.35">
      <c r="A22" s="28"/>
      <c r="B22" s="20" t="s">
        <v>60</v>
      </c>
      <c r="C22" s="20" t="s">
        <v>15</v>
      </c>
      <c r="D22" s="20" t="s">
        <v>67</v>
      </c>
      <c r="E22" s="20" t="s">
        <v>71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1:20" x14ac:dyDescent="0.3">
      <c r="A23" s="26" t="s">
        <v>38</v>
      </c>
      <c r="B23" s="19" t="s">
        <v>47</v>
      </c>
      <c r="C23" s="19" t="s">
        <v>45</v>
      </c>
      <c r="D23" s="19" t="s">
        <v>20</v>
      </c>
      <c r="E23" s="19" t="s">
        <v>7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5" thickBot="1" x14ac:dyDescent="0.35">
      <c r="A24" s="28"/>
      <c r="B24" s="21" t="s">
        <v>9</v>
      </c>
      <c r="C24" s="21" t="s">
        <v>46</v>
      </c>
      <c r="D24" s="21" t="s">
        <v>8</v>
      </c>
      <c r="E24" s="21" t="s">
        <v>44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spans="1:20" x14ac:dyDescent="0.3">
      <c r="A25" s="1"/>
      <c r="B25" s="1"/>
      <c r="C25" s="1"/>
      <c r="E25" s="1"/>
    </row>
    <row r="26" spans="1:20" x14ac:dyDescent="0.3">
      <c r="A26" s="1"/>
      <c r="B26" s="1"/>
      <c r="C26" s="1"/>
      <c r="E26" s="1"/>
    </row>
    <row r="27" spans="1:20" x14ac:dyDescent="0.3">
      <c r="A27" s="1"/>
      <c r="B27" s="1"/>
      <c r="C27" s="1"/>
      <c r="E27" s="1"/>
    </row>
    <row r="28" spans="1:20" ht="27.6" x14ac:dyDescent="0.3">
      <c r="B28" s="22"/>
      <c r="C28" s="22"/>
      <c r="D28" s="22"/>
      <c r="E28" s="22"/>
      <c r="F28" s="22"/>
    </row>
    <row r="29" spans="1:20" x14ac:dyDescent="0.3">
      <c r="B29" s="24"/>
      <c r="C29" s="23"/>
      <c r="D29" s="23"/>
      <c r="E29" s="23"/>
      <c r="F29" s="23"/>
    </row>
    <row r="30" spans="1:20" x14ac:dyDescent="0.3">
      <c r="B30" s="24"/>
      <c r="C30" s="23"/>
      <c r="D30" s="23"/>
      <c r="E30" s="23"/>
      <c r="F30" s="23"/>
    </row>
    <row r="31" spans="1:20" x14ac:dyDescent="0.3">
      <c r="B31" s="24"/>
      <c r="C31" s="23"/>
      <c r="D31" s="23"/>
      <c r="E31" s="23"/>
      <c r="F31" s="23"/>
    </row>
    <row r="32" spans="1:20" x14ac:dyDescent="0.3">
      <c r="B32" s="24"/>
      <c r="C32" s="23"/>
      <c r="D32" s="23"/>
      <c r="E32" s="23"/>
      <c r="F32" s="23"/>
    </row>
    <row r="33" spans="2:6" x14ac:dyDescent="0.3">
      <c r="B33" s="24"/>
      <c r="C33" s="23"/>
      <c r="D33" s="23"/>
      <c r="E33" s="23"/>
      <c r="F33" s="23"/>
    </row>
    <row r="34" spans="2:6" x14ac:dyDescent="0.3">
      <c r="B34" s="24"/>
      <c r="C34" s="23"/>
      <c r="D34" s="23"/>
      <c r="E34" s="23"/>
      <c r="F34" s="23"/>
    </row>
    <row r="35" spans="2:6" x14ac:dyDescent="0.3">
      <c r="B35" s="24"/>
      <c r="C35" s="23"/>
      <c r="D35" s="23"/>
      <c r="E35" s="23"/>
      <c r="F35" s="23"/>
    </row>
    <row r="36" spans="2:6" x14ac:dyDescent="0.3">
      <c r="B36" s="24"/>
      <c r="C36" s="23"/>
      <c r="D36" s="23"/>
      <c r="E36" s="23"/>
      <c r="F36" s="23"/>
    </row>
    <row r="37" spans="2:6" x14ac:dyDescent="0.3">
      <c r="B37" s="24"/>
      <c r="C37" s="23"/>
      <c r="D37" s="23"/>
      <c r="E37" s="23"/>
      <c r="F37" s="23"/>
    </row>
    <row r="38" spans="2:6" x14ac:dyDescent="0.3">
      <c r="B38" s="24"/>
      <c r="C38" s="23"/>
      <c r="D38" s="23"/>
      <c r="E38" s="23"/>
      <c r="F38" s="23"/>
    </row>
    <row r="39" spans="2:6" x14ac:dyDescent="0.3">
      <c r="B39" s="24"/>
      <c r="C39" s="23"/>
      <c r="D39" s="23"/>
      <c r="E39" s="23"/>
      <c r="F39" s="23"/>
    </row>
    <row r="40" spans="2:6" x14ac:dyDescent="0.3">
      <c r="B40" s="24"/>
      <c r="C40" s="23"/>
      <c r="D40" s="23"/>
      <c r="E40" s="23"/>
      <c r="F40" s="23"/>
    </row>
    <row r="41" spans="2:6" x14ac:dyDescent="0.3">
      <c r="B41" s="24"/>
      <c r="C41" s="23"/>
      <c r="D41" s="23"/>
      <c r="E41" s="23"/>
      <c r="F41" s="23"/>
    </row>
    <row r="42" spans="2:6" x14ac:dyDescent="0.3">
      <c r="B42" s="24"/>
      <c r="C42" s="23"/>
      <c r="D42" s="23"/>
      <c r="E42" s="23"/>
      <c r="F42" s="23"/>
    </row>
    <row r="43" spans="2:6" x14ac:dyDescent="0.3">
      <c r="B43" s="24"/>
      <c r="C43" s="23"/>
      <c r="D43" s="23"/>
      <c r="E43" s="23"/>
      <c r="F43" s="23"/>
    </row>
  </sheetData>
  <mergeCells count="7">
    <mergeCell ref="G1:T24"/>
    <mergeCell ref="A2:A5"/>
    <mergeCell ref="A6:A8"/>
    <mergeCell ref="A9:A11"/>
    <mergeCell ref="A12:A14"/>
    <mergeCell ref="A23:A24"/>
    <mergeCell ref="A15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Pin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Sithumini Anuhansi</dc:creator>
  <cp:lastModifiedBy>Sithumini Anuhansi</cp:lastModifiedBy>
  <cp:lastPrinted>2026-03-27T15:48:34Z</cp:lastPrinted>
  <dcterms:created xsi:type="dcterms:W3CDTF">2026-03-03T07:50:13Z</dcterms:created>
  <dcterms:modified xsi:type="dcterms:W3CDTF">2026-08-16T16:05:41Z</dcterms:modified>
</cp:coreProperties>
</file>