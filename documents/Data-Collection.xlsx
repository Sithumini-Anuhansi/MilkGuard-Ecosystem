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humini\Group-Projects\MilkGuard-Ecosystem\documents\"/>
    </mc:Choice>
  </mc:AlternateContent>
  <xr:revisionPtr revIDLastSave="0" documentId="13_ncr:1_{CD9FF7BE-B4A0-43EE-B8D5-2F7C96C24E1E}" xr6:coauthVersionLast="47" xr6:coauthVersionMax="47" xr10:uidLastSave="{00000000-0000-0000-0000-000000000000}"/>
  <bookViews>
    <workbookView xWindow="-108" yWindow="-108" windowWidth="23256" windowHeight="12456" xr2:uid="{A156ED5C-A852-4E5B-A378-E761FCF79247}"/>
  </bookViews>
  <sheets>
    <sheet name="Detection Thresholds" sheetId="12" r:id="rId1"/>
    <sheet name="Initial Test" sheetId="3" r:id="rId2"/>
    <sheet name="1-Hour Test" sheetId="4" r:id="rId3"/>
    <sheet name="3-Hour Test" sheetId="5" r:id="rId4"/>
    <sheet name="6-Hour Test" sheetId="6" r:id="rId5"/>
    <sheet name="12-Hour Test" sheetId="7" r:id="rId6"/>
    <sheet name="15-Hour Test" sheetId="11" r:id="rId7"/>
    <sheet name="24-Hour Test" sheetId="8" r:id="rId8"/>
    <sheet name="36-Hour Test" sheetId="9" r:id="rId9"/>
    <sheet name="48-Hour Tes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4" l="1"/>
  <c r="A37" i="4" s="1"/>
  <c r="A38" i="4" s="1"/>
  <c r="B36" i="4"/>
  <c r="B38" i="4" s="1"/>
  <c r="C36" i="4"/>
  <c r="B37" i="4"/>
  <c r="C36" i="10"/>
  <c r="B36" i="10"/>
  <c r="A36" i="10"/>
  <c r="C36" i="3"/>
  <c r="B36" i="3"/>
  <c r="A36" i="3"/>
  <c r="C37" i="5"/>
  <c r="C38" i="5" s="1"/>
  <c r="C36" i="5"/>
  <c r="B36" i="5"/>
  <c r="B37" i="5" s="1"/>
  <c r="B38" i="5" s="1"/>
  <c r="A36" i="5"/>
  <c r="A37" i="5" s="1"/>
  <c r="A38" i="5" s="1"/>
  <c r="A37" i="6"/>
  <c r="A38" i="6" s="1"/>
  <c r="C36" i="6"/>
  <c r="B36" i="6"/>
  <c r="A36" i="6"/>
  <c r="B37" i="7"/>
  <c r="B38" i="7" s="1"/>
  <c r="A37" i="7"/>
  <c r="A38" i="7" s="1"/>
  <c r="C36" i="7"/>
  <c r="B36" i="7"/>
  <c r="A36" i="7"/>
  <c r="B37" i="11"/>
  <c r="A37" i="11"/>
  <c r="A38" i="11" s="1"/>
  <c r="C36" i="11"/>
  <c r="B36" i="11"/>
  <c r="B38" i="11" s="1"/>
  <c r="A36" i="11"/>
  <c r="C37" i="8"/>
  <c r="B37" i="8"/>
  <c r="A37" i="8"/>
  <c r="A38" i="8" s="1"/>
  <c r="C36" i="8"/>
  <c r="C38" i="8" s="1"/>
  <c r="B36" i="8"/>
  <c r="B38" i="8" s="1"/>
  <c r="A36" i="8"/>
  <c r="C38" i="9"/>
  <c r="B38" i="9"/>
  <c r="C37" i="9"/>
  <c r="B37" i="9"/>
  <c r="A38" i="9"/>
  <c r="A37" i="9"/>
  <c r="C36" i="9"/>
  <c r="B36" i="9"/>
  <c r="A36" i="9"/>
  <c r="C37" i="4" l="1"/>
  <c r="C38" i="4" s="1"/>
  <c r="C37" i="10"/>
  <c r="C38" i="10" s="1"/>
  <c r="A37" i="10"/>
  <c r="A38" i="10" s="1"/>
  <c r="B37" i="10"/>
  <c r="B38" i="10" s="1"/>
  <c r="C38" i="3"/>
  <c r="C37" i="3"/>
  <c r="B37" i="3"/>
  <c r="B38" i="3"/>
  <c r="A38" i="3"/>
  <c r="A37" i="3"/>
  <c r="C37" i="6"/>
  <c r="C38" i="6" s="1"/>
  <c r="B38" i="6"/>
  <c r="B37" i="6"/>
  <c r="C37" i="7"/>
  <c r="C38" i="7" s="1"/>
  <c r="C37" i="11"/>
  <c r="C38" i="11" s="1"/>
</calcChain>
</file>

<file path=xl/sharedStrings.xml><?xml version="1.0" encoding="utf-8"?>
<sst xmlns="http://schemas.openxmlformats.org/spreadsheetml/2006/main" count="194" uniqueCount="112">
  <si>
    <t>pH: 6.66</t>
  </si>
  <si>
    <t>MQ135: 292</t>
  </si>
  <si>
    <t>MQ135: 347</t>
  </si>
  <si>
    <t>MQ135: 399</t>
  </si>
  <si>
    <t>Temp: -127.00 C</t>
  </si>
  <si>
    <t>Temp: 33.56 C</t>
  </si>
  <si>
    <t>Temp: 33.50 C</t>
  </si>
  <si>
    <t>pH Value</t>
  </si>
  <si>
    <t>Gas Level</t>
  </si>
  <si>
    <t>Temperature</t>
  </si>
  <si>
    <t>pH: 6.86</t>
  </si>
  <si>
    <t>pH: 6.84</t>
  </si>
  <si>
    <t>MQ135: 246</t>
  </si>
  <si>
    <t>MQ135: 337</t>
  </si>
  <si>
    <t>MQ135: 415</t>
  </si>
  <si>
    <t>Temp: 29.81 C</t>
  </si>
  <si>
    <t>pH: 6.9</t>
  </si>
  <si>
    <t>pH: 6.8</t>
  </si>
  <si>
    <t>MQ135: 225</t>
  </si>
  <si>
    <t>MQ135: 310</t>
  </si>
  <si>
    <t>MQ135: 370</t>
  </si>
  <si>
    <t>Temp: -127.0 C</t>
  </si>
  <si>
    <t>Temp: 27.8 C</t>
  </si>
  <si>
    <t>MQ135: 314</t>
  </si>
  <si>
    <t>MQ135: 410</t>
  </si>
  <si>
    <t>Temp: 31.4 C</t>
  </si>
  <si>
    <t>MQ135: 498</t>
  </si>
  <si>
    <t>Temp: 30.87 C</t>
  </si>
  <si>
    <t>MQ135: 319</t>
  </si>
  <si>
    <t>MQ135: 431</t>
  </si>
  <si>
    <t>MQ135: 542</t>
  </si>
  <si>
    <t>pH: 6.68</t>
  </si>
  <si>
    <t>pH: 6.67</t>
  </si>
  <si>
    <t>pH: 6.63</t>
  </si>
  <si>
    <t>pH: 6.95</t>
  </si>
  <si>
    <t>pH: 6.97</t>
  </si>
  <si>
    <t>pH: 6.98</t>
  </si>
  <si>
    <t>Temp: 27.75 C</t>
  </si>
  <si>
    <t>MQ135: 400</t>
  </si>
  <si>
    <t>MQ135: 553</t>
  </si>
  <si>
    <t>MQ135: 758</t>
  </si>
  <si>
    <t>pH: 6.96</t>
  </si>
  <si>
    <t>MQ135: 494</t>
  </si>
  <si>
    <t>MQ135: 827</t>
  </si>
  <si>
    <t>MQ135: 1050</t>
  </si>
  <si>
    <t>Temp: 31.31 C</t>
  </si>
  <si>
    <t>Average</t>
  </si>
  <si>
    <t>Maximum</t>
  </si>
  <si>
    <t>Minimum</t>
  </si>
  <si>
    <t>pH: 7.21</t>
  </si>
  <si>
    <t>pH: 7.23</t>
  </si>
  <si>
    <t>MQ135: 662</t>
  </si>
  <si>
    <t>MQ135: 1083</t>
  </si>
  <si>
    <t>MQ135: 1283</t>
  </si>
  <si>
    <t>Temp: 28.44 C</t>
  </si>
  <si>
    <t>pH</t>
  </si>
  <si>
    <t>Fresh Milk</t>
  </si>
  <si>
    <t>Warning Stage</t>
  </si>
  <si>
    <t>Spoiled Milk</t>
  </si>
  <si>
    <t>6.6 – 6.9</t>
  </si>
  <si>
    <t>&lt; 520</t>
  </si>
  <si>
    <t>6.7 – 7.0</t>
  </si>
  <si>
    <t>520 – 780</t>
  </si>
  <si>
    <t>&gt; 6.9</t>
  </si>
  <si>
    <t>&gt; 780</t>
  </si>
  <si>
    <t>Time</t>
  </si>
  <si>
    <t>pH Range</t>
  </si>
  <si>
    <t xml:space="preserve">Gas Level </t>
  </si>
  <si>
    <t>1 hr</t>
  </si>
  <si>
    <t>Initial</t>
  </si>
  <si>
    <t>3 hr</t>
  </si>
  <si>
    <t>6 hr</t>
  </si>
  <si>
    <t>12 hr</t>
  </si>
  <si>
    <t>15 hr</t>
  </si>
  <si>
    <t>24 hr</t>
  </si>
  <si>
    <t>36 hr</t>
  </si>
  <si>
    <t>48 hour</t>
  </si>
  <si>
    <t>6.63-6.77</t>
  </si>
  <si>
    <t>7.10-7.20</t>
  </si>
  <si>
    <t>6.80-6.90</t>
  </si>
  <si>
    <t>6.81-6.85</t>
  </si>
  <si>
    <t>6.70-6.80</t>
  </si>
  <si>
    <t>6.66-6.75</t>
  </si>
  <si>
    <t>6.93-6.99</t>
  </si>
  <si>
    <t>6.93-702</t>
  </si>
  <si>
    <t>7.21-7.25</t>
  </si>
  <si>
    <t>421–511</t>
  </si>
  <si>
    <t>432–511</t>
  </si>
  <si>
    <t>414–508</t>
  </si>
  <si>
    <t>432–560</t>
  </si>
  <si>
    <t>530–801</t>
  </si>
  <si>
    <t>609–781</t>
  </si>
  <si>
    <t>782–1168</t>
  </si>
  <si>
    <t>817–1386</t>
  </si>
  <si>
    <t>857–1567</t>
  </si>
  <si>
    <t>Stage</t>
  </si>
  <si>
    <t>Physical Observation</t>
  </si>
  <si>
    <t>Fresh</t>
  </si>
  <si>
    <t>0 hr</t>
  </si>
  <si>
    <t>Fresh milk</t>
  </si>
  <si>
    <t>Early Stage</t>
  </si>
  <si>
    <t>1–6 hr</t>
  </si>
  <si>
    <t>No or slight changes</t>
  </si>
  <si>
    <t>Spoilage Starting</t>
  </si>
  <si>
    <t>12–15 hr</t>
  </si>
  <si>
    <t>Odor + slight lumps</t>
  </si>
  <si>
    <t>Spoiled</t>
  </si>
  <si>
    <t>24–36 hr</t>
  </si>
  <si>
    <t>Color change + bad odor</t>
  </si>
  <si>
    <t>Fully Spoiled</t>
  </si>
  <si>
    <t>48 hr</t>
  </si>
  <si>
    <t>Thick lumps + water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</si>
</sst>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8" tint="-0.499984740745262"/>
      <name val="Times New Roman"/>
      <family val="1"/>
    </font>
    <font>
      <b/>
      <sz val="18"/>
      <color theme="6" tint="-0.499984740745262"/>
      <name val="Times New Roman"/>
      <family val="1"/>
    </font>
    <font>
      <b/>
      <sz val="18"/>
      <color theme="5" tint="-0.499984740745262"/>
      <name val="Times New Roman"/>
      <family val="1"/>
    </font>
    <font>
      <b/>
      <sz val="18"/>
      <color theme="3" tint="9.9978637043366805E-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3" xfId="0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0" fontId="1" fillId="0" borderId="0" xfId="0" applyFont="1"/>
    <xf numFmtId="2" fontId="5" fillId="9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184C-90F3-4DD6-9709-128CA8132DDD}">
  <dimension ref="A1:C24"/>
  <sheetViews>
    <sheetView tabSelected="1" zoomScale="58" workbookViewId="0">
      <selection activeCell="P50" sqref="P50"/>
    </sheetView>
  </sheetViews>
  <sheetFormatPr defaultRowHeight="14.4" x14ac:dyDescent="0.3"/>
  <cols>
    <col min="1" max="1" width="31.33203125" customWidth="1"/>
    <col min="2" max="2" width="23.21875" customWidth="1"/>
    <col min="3" max="3" width="48" customWidth="1"/>
  </cols>
  <sheetData>
    <row r="1" spans="1:3" ht="23.4" thickBot="1" x14ac:dyDescent="0.35">
      <c r="A1" s="2"/>
      <c r="B1" s="29" t="s">
        <v>55</v>
      </c>
      <c r="C1" s="29" t="s">
        <v>8</v>
      </c>
    </row>
    <row r="2" spans="1:3" ht="23.4" thickBot="1" x14ac:dyDescent="0.35">
      <c r="A2" s="23" t="s">
        <v>56</v>
      </c>
      <c r="B2" s="24" t="s">
        <v>59</v>
      </c>
      <c r="C2" s="24" t="s">
        <v>60</v>
      </c>
    </row>
    <row r="3" spans="1:3" ht="23.4" thickBot="1" x14ac:dyDescent="0.35">
      <c r="A3" s="27" t="s">
        <v>57</v>
      </c>
      <c r="B3" s="28" t="s">
        <v>61</v>
      </c>
      <c r="C3" s="28" t="s">
        <v>62</v>
      </c>
    </row>
    <row r="4" spans="1:3" ht="23.4" thickBot="1" x14ac:dyDescent="0.35">
      <c r="A4" s="25" t="s">
        <v>58</v>
      </c>
      <c r="B4" s="26" t="s">
        <v>63</v>
      </c>
      <c r="C4" s="26" t="s">
        <v>64</v>
      </c>
    </row>
    <row r="6" spans="1:3" ht="15" thickBot="1" x14ac:dyDescent="0.35"/>
    <row r="7" spans="1:3" ht="22.8" x14ac:dyDescent="0.3">
      <c r="A7" s="31" t="s">
        <v>65</v>
      </c>
      <c r="B7" s="32" t="s">
        <v>66</v>
      </c>
      <c r="C7" s="33" t="s">
        <v>67</v>
      </c>
    </row>
    <row r="8" spans="1:3" ht="22.8" x14ac:dyDescent="0.3">
      <c r="A8" s="34" t="s">
        <v>69</v>
      </c>
      <c r="B8" s="30" t="s">
        <v>77</v>
      </c>
      <c r="C8" s="35" t="s">
        <v>86</v>
      </c>
    </row>
    <row r="9" spans="1:3" ht="22.8" x14ac:dyDescent="0.3">
      <c r="A9" s="34" t="s">
        <v>68</v>
      </c>
      <c r="B9" s="30" t="s">
        <v>78</v>
      </c>
      <c r="C9" s="35" t="s">
        <v>87</v>
      </c>
    </row>
    <row r="10" spans="1:3" ht="22.8" x14ac:dyDescent="0.3">
      <c r="A10" s="34" t="s">
        <v>70</v>
      </c>
      <c r="B10" s="30" t="s">
        <v>79</v>
      </c>
      <c r="C10" s="35" t="s">
        <v>88</v>
      </c>
    </row>
    <row r="11" spans="1:3" ht="22.8" x14ac:dyDescent="0.3">
      <c r="A11" s="34" t="s">
        <v>71</v>
      </c>
      <c r="B11" s="30" t="s">
        <v>80</v>
      </c>
      <c r="C11" s="35" t="s">
        <v>89</v>
      </c>
    </row>
    <row r="12" spans="1:3" ht="22.8" x14ac:dyDescent="0.3">
      <c r="A12" s="34" t="s">
        <v>72</v>
      </c>
      <c r="B12" s="30" t="s">
        <v>81</v>
      </c>
      <c r="C12" s="35" t="s">
        <v>90</v>
      </c>
    </row>
    <row r="13" spans="1:3" ht="22.8" x14ac:dyDescent="0.3">
      <c r="A13" s="34" t="s">
        <v>73</v>
      </c>
      <c r="B13" s="30" t="s">
        <v>82</v>
      </c>
      <c r="C13" s="35" t="s">
        <v>91</v>
      </c>
    </row>
    <row r="14" spans="1:3" ht="22.8" x14ac:dyDescent="0.3">
      <c r="A14" s="34" t="s">
        <v>74</v>
      </c>
      <c r="B14" s="30" t="s">
        <v>83</v>
      </c>
      <c r="C14" s="35" t="s">
        <v>92</v>
      </c>
    </row>
    <row r="15" spans="1:3" ht="22.8" x14ac:dyDescent="0.3">
      <c r="A15" s="34" t="s">
        <v>75</v>
      </c>
      <c r="B15" s="30" t="s">
        <v>84</v>
      </c>
      <c r="C15" s="35" t="s">
        <v>93</v>
      </c>
    </row>
    <row r="16" spans="1:3" ht="23.4" thickBot="1" x14ac:dyDescent="0.35">
      <c r="A16" s="36" t="s">
        <v>76</v>
      </c>
      <c r="B16" s="37" t="s">
        <v>85</v>
      </c>
      <c r="C16" s="38" t="s">
        <v>94</v>
      </c>
    </row>
    <row r="18" spans="1:3" ht="15" thickBot="1" x14ac:dyDescent="0.35"/>
    <row r="19" spans="1:3" ht="23.4" thickBot="1" x14ac:dyDescent="0.35">
      <c r="A19" s="43" t="s">
        <v>95</v>
      </c>
      <c r="B19" s="45" t="s">
        <v>65</v>
      </c>
      <c r="C19" s="44" t="s">
        <v>96</v>
      </c>
    </row>
    <row r="20" spans="1:3" ht="22.8" x14ac:dyDescent="0.3">
      <c r="A20" s="39" t="s">
        <v>97</v>
      </c>
      <c r="B20" s="46" t="s">
        <v>98</v>
      </c>
      <c r="C20" s="40" t="s">
        <v>99</v>
      </c>
    </row>
    <row r="21" spans="1:3" ht="22.8" x14ac:dyDescent="0.3">
      <c r="A21" s="39" t="s">
        <v>100</v>
      </c>
      <c r="B21" s="46" t="s">
        <v>101</v>
      </c>
      <c r="C21" s="40" t="s">
        <v>102</v>
      </c>
    </row>
    <row r="22" spans="1:3" ht="22.8" x14ac:dyDescent="0.3">
      <c r="A22" s="39" t="s">
        <v>103</v>
      </c>
      <c r="B22" s="46" t="s">
        <v>104</v>
      </c>
      <c r="C22" s="40" t="s">
        <v>105</v>
      </c>
    </row>
    <row r="23" spans="1:3" ht="22.8" x14ac:dyDescent="0.3">
      <c r="A23" s="39" t="s">
        <v>106</v>
      </c>
      <c r="B23" s="46" t="s">
        <v>107</v>
      </c>
      <c r="C23" s="40" t="s">
        <v>108</v>
      </c>
    </row>
    <row r="24" spans="1:3" ht="23.4" thickBot="1" x14ac:dyDescent="0.35">
      <c r="A24" s="41" t="s">
        <v>109</v>
      </c>
      <c r="B24" s="47" t="s">
        <v>110</v>
      </c>
      <c r="C24" s="42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7251-994E-4F72-AA75-D570F7C66E80}">
  <dimension ref="A1:F38"/>
  <sheetViews>
    <sheetView zoomScale="31" workbookViewId="0">
      <selection activeCell="K17" sqref="K17"/>
    </sheetView>
  </sheetViews>
  <sheetFormatPr defaultRowHeight="14.4" x14ac:dyDescent="0.3"/>
  <cols>
    <col min="1" max="1" width="18.33203125" customWidth="1"/>
    <col min="2" max="2" width="24.5546875" customWidth="1"/>
    <col min="3" max="3" width="27.21875" customWidth="1"/>
    <col min="4" max="4" width="27.109375" customWidth="1"/>
  </cols>
  <sheetData>
    <row r="1" spans="1:6" ht="23.4" thickBot="1" x14ac:dyDescent="0.35">
      <c r="A1" s="6" t="s">
        <v>0</v>
      </c>
      <c r="B1" s="4" t="s">
        <v>1</v>
      </c>
      <c r="C1" s="6" t="s">
        <v>4</v>
      </c>
      <c r="D1" s="1"/>
      <c r="E1" s="1"/>
      <c r="F1" s="1"/>
    </row>
    <row r="2" spans="1:6" ht="23.4" thickBot="1" x14ac:dyDescent="0.35">
      <c r="A2" s="6" t="s">
        <v>0</v>
      </c>
      <c r="B2" s="4" t="s">
        <v>2</v>
      </c>
      <c r="C2" s="6" t="s">
        <v>5</v>
      </c>
      <c r="D2" s="1"/>
      <c r="E2" s="1"/>
      <c r="F2" s="1"/>
    </row>
    <row r="3" spans="1:6" ht="23.4" thickBot="1" x14ac:dyDescent="0.35">
      <c r="A3" s="9" t="s">
        <v>0</v>
      </c>
      <c r="B3" s="6" t="s">
        <v>3</v>
      </c>
      <c r="C3" s="9" t="s">
        <v>6</v>
      </c>
      <c r="D3" s="1"/>
      <c r="E3" s="1"/>
      <c r="F3" s="1"/>
    </row>
    <row r="4" spans="1:6" ht="23.4" thickBot="1" x14ac:dyDescent="0.35">
      <c r="A4" s="2"/>
      <c r="B4" s="2"/>
      <c r="C4" s="2"/>
      <c r="D4" s="1"/>
      <c r="E4" s="1"/>
      <c r="F4" s="1"/>
    </row>
    <row r="5" spans="1:6" ht="23.4" thickBot="1" x14ac:dyDescent="0.35">
      <c r="A5" s="11" t="s">
        <v>7</v>
      </c>
      <c r="B5" s="11" t="s">
        <v>8</v>
      </c>
      <c r="C5" s="11" t="s">
        <v>9</v>
      </c>
      <c r="D5" s="1"/>
      <c r="E5" s="1"/>
      <c r="F5" s="1"/>
    </row>
    <row r="6" spans="1:6" ht="22.8" x14ac:dyDescent="0.3">
      <c r="A6" s="13">
        <v>6.65</v>
      </c>
      <c r="B6" s="13">
        <v>426</v>
      </c>
      <c r="C6" s="14">
        <v>33.56</v>
      </c>
      <c r="D6" s="1"/>
      <c r="E6" s="1"/>
      <c r="F6" s="1"/>
    </row>
    <row r="7" spans="1:6" ht="22.8" x14ac:dyDescent="0.3">
      <c r="A7" s="10">
        <v>6.7</v>
      </c>
      <c r="B7" s="10">
        <v>464</v>
      </c>
      <c r="C7" s="15">
        <v>33.56</v>
      </c>
      <c r="D7" s="1"/>
      <c r="E7" s="1"/>
      <c r="F7" s="1"/>
    </row>
    <row r="8" spans="1:6" ht="22.8" x14ac:dyDescent="0.3">
      <c r="A8" s="10">
        <v>6.69</v>
      </c>
      <c r="B8" s="10">
        <v>494</v>
      </c>
      <c r="C8" s="15">
        <v>33.56</v>
      </c>
      <c r="D8" s="1"/>
      <c r="E8" s="1"/>
      <c r="F8" s="1"/>
    </row>
    <row r="9" spans="1:6" ht="22.8" x14ac:dyDescent="0.3">
      <c r="A9" s="10">
        <v>6.68</v>
      </c>
      <c r="B9" s="10">
        <v>500</v>
      </c>
      <c r="C9" s="15">
        <v>33.5</v>
      </c>
      <c r="D9" s="1"/>
      <c r="E9" s="1"/>
      <c r="F9" s="1"/>
    </row>
    <row r="10" spans="1:6" ht="22.8" x14ac:dyDescent="0.3">
      <c r="A10" s="10">
        <v>6.67</v>
      </c>
      <c r="B10" s="10">
        <v>507</v>
      </c>
      <c r="C10" s="15">
        <v>33.5</v>
      </c>
      <c r="D10" s="1"/>
      <c r="E10" s="1"/>
      <c r="F10" s="1"/>
    </row>
    <row r="11" spans="1:6" ht="22.8" x14ac:dyDescent="0.3">
      <c r="A11" s="10">
        <v>6.7</v>
      </c>
      <c r="B11" s="10">
        <v>497</v>
      </c>
      <c r="C11" s="15">
        <v>33.5</v>
      </c>
      <c r="D11" s="1"/>
      <c r="E11" s="1"/>
      <c r="F11" s="1"/>
    </row>
    <row r="12" spans="1:6" ht="22.8" x14ac:dyDescent="0.3">
      <c r="A12" s="10">
        <v>6.69</v>
      </c>
      <c r="B12" s="10">
        <v>511</v>
      </c>
      <c r="C12" s="15">
        <v>33.5</v>
      </c>
      <c r="D12" s="1"/>
      <c r="E12" s="1"/>
      <c r="F12" s="1"/>
    </row>
    <row r="13" spans="1:6" ht="22.8" x14ac:dyDescent="0.3">
      <c r="A13" s="10">
        <v>6.68</v>
      </c>
      <c r="B13" s="10">
        <v>511</v>
      </c>
      <c r="C13" s="15">
        <v>33.5</v>
      </c>
      <c r="D13" s="1"/>
      <c r="E13" s="1"/>
      <c r="F13" s="1"/>
    </row>
    <row r="14" spans="1:6" ht="22.8" x14ac:dyDescent="0.3">
      <c r="A14" s="10">
        <v>6.64</v>
      </c>
      <c r="B14" s="10">
        <v>510</v>
      </c>
      <c r="C14" s="15">
        <v>33.5</v>
      </c>
      <c r="D14" s="1"/>
      <c r="E14" s="1"/>
      <c r="F14" s="1"/>
    </row>
    <row r="15" spans="1:6" ht="22.8" x14ac:dyDescent="0.3">
      <c r="A15" s="10">
        <v>6.63</v>
      </c>
      <c r="B15" s="10">
        <v>507</v>
      </c>
      <c r="C15" s="15">
        <v>33.44</v>
      </c>
      <c r="D15" s="1"/>
      <c r="E15" s="1"/>
      <c r="F15" s="1"/>
    </row>
    <row r="16" spans="1:6" ht="22.8" x14ac:dyDescent="0.3">
      <c r="A16" s="10">
        <v>6.66</v>
      </c>
      <c r="B16" s="10">
        <v>506</v>
      </c>
      <c r="C16" s="15">
        <v>33.5</v>
      </c>
      <c r="D16" s="1"/>
      <c r="E16" s="1"/>
      <c r="F16" s="1"/>
    </row>
    <row r="17" spans="1:6" ht="22.8" x14ac:dyDescent="0.3">
      <c r="A17" s="10">
        <v>6.68</v>
      </c>
      <c r="B17" s="10">
        <v>497</v>
      </c>
      <c r="C17" s="15">
        <v>33.5</v>
      </c>
      <c r="D17" s="1"/>
      <c r="E17" s="1"/>
      <c r="F17" s="1"/>
    </row>
    <row r="18" spans="1:6" ht="22.8" x14ac:dyDescent="0.3">
      <c r="A18" s="10">
        <v>6.64</v>
      </c>
      <c r="B18" s="10">
        <v>496</v>
      </c>
      <c r="C18" s="15">
        <v>33.5</v>
      </c>
      <c r="D18" s="1"/>
      <c r="E18" s="1"/>
      <c r="F18" s="1"/>
    </row>
    <row r="19" spans="1:6" ht="22.8" x14ac:dyDescent="0.3">
      <c r="A19" s="10">
        <v>6.68</v>
      </c>
      <c r="B19" s="10">
        <v>496</v>
      </c>
      <c r="C19" s="15">
        <v>33.44</v>
      </c>
      <c r="D19" s="1"/>
      <c r="E19" s="1"/>
      <c r="F19" s="1"/>
    </row>
    <row r="20" spans="1:6" ht="22.8" x14ac:dyDescent="0.3">
      <c r="A20" s="10">
        <v>6.69</v>
      </c>
      <c r="B20" s="10">
        <v>490</v>
      </c>
      <c r="C20" s="15">
        <v>33.31</v>
      </c>
      <c r="D20" s="1"/>
      <c r="E20" s="1"/>
      <c r="F20" s="1"/>
    </row>
    <row r="21" spans="1:6" ht="22.8" x14ac:dyDescent="0.3">
      <c r="A21" s="10">
        <v>6.69</v>
      </c>
      <c r="B21" s="10">
        <v>494</v>
      </c>
      <c r="C21" s="15">
        <v>33.19</v>
      </c>
      <c r="D21" s="1"/>
      <c r="E21" s="1"/>
      <c r="F21" s="1"/>
    </row>
    <row r="22" spans="1:6" ht="22.8" x14ac:dyDescent="0.3">
      <c r="A22" s="10">
        <v>6.73</v>
      </c>
      <c r="B22" s="10">
        <v>468</v>
      </c>
      <c r="C22" s="15">
        <v>33</v>
      </c>
      <c r="D22" s="1"/>
      <c r="E22" s="1"/>
      <c r="F22" s="1"/>
    </row>
    <row r="23" spans="1:6" ht="22.8" x14ac:dyDescent="0.3">
      <c r="A23" s="10">
        <v>6.7</v>
      </c>
      <c r="B23" s="10">
        <v>482</v>
      </c>
      <c r="C23" s="15">
        <v>32.880000000000003</v>
      </c>
      <c r="D23" s="1"/>
      <c r="E23" s="1"/>
      <c r="F23" s="1"/>
    </row>
    <row r="24" spans="1:6" ht="22.8" x14ac:dyDescent="0.3">
      <c r="A24" s="10">
        <v>6.68</v>
      </c>
      <c r="B24" s="10">
        <v>476</v>
      </c>
      <c r="C24" s="15">
        <v>32.75</v>
      </c>
      <c r="D24" s="1"/>
      <c r="E24" s="1"/>
      <c r="F24" s="1"/>
    </row>
    <row r="25" spans="1:6" ht="22.8" x14ac:dyDescent="0.3">
      <c r="A25" s="10">
        <v>6.69</v>
      </c>
      <c r="B25" s="10">
        <v>465</v>
      </c>
      <c r="C25" s="15">
        <v>32.630000000000003</v>
      </c>
      <c r="D25" s="1"/>
      <c r="E25" s="1"/>
      <c r="F25" s="1"/>
    </row>
    <row r="26" spans="1:6" ht="22.8" x14ac:dyDescent="0.3">
      <c r="A26" s="10">
        <v>6.66</v>
      </c>
      <c r="B26" s="10">
        <v>474</v>
      </c>
      <c r="C26" s="15">
        <v>32.44</v>
      </c>
      <c r="D26" s="1"/>
      <c r="E26" s="1"/>
      <c r="F26" s="1"/>
    </row>
    <row r="27" spans="1:6" ht="22.8" x14ac:dyDescent="0.3">
      <c r="A27" s="10">
        <v>6.65</v>
      </c>
      <c r="B27" s="10">
        <v>473</v>
      </c>
      <c r="C27" s="15">
        <v>32.380000000000003</v>
      </c>
      <c r="D27" s="1"/>
      <c r="E27" s="1"/>
      <c r="F27" s="1"/>
    </row>
    <row r="28" spans="1:6" ht="22.8" x14ac:dyDescent="0.3">
      <c r="A28" s="10">
        <v>6.69</v>
      </c>
      <c r="B28" s="10">
        <v>465</v>
      </c>
      <c r="C28" s="15">
        <v>32.25</v>
      </c>
      <c r="D28" s="1"/>
      <c r="E28" s="1"/>
      <c r="F28" s="1"/>
    </row>
    <row r="29" spans="1:6" ht="22.8" x14ac:dyDescent="0.3">
      <c r="A29" s="10">
        <v>6.68</v>
      </c>
      <c r="B29" s="10">
        <v>464</v>
      </c>
      <c r="C29" s="15">
        <v>32.130000000000003</v>
      </c>
      <c r="D29" s="1"/>
      <c r="E29" s="1"/>
      <c r="F29" s="1"/>
    </row>
    <row r="30" spans="1:6" ht="22.8" x14ac:dyDescent="0.3">
      <c r="A30" s="10">
        <v>6.68</v>
      </c>
      <c r="B30" s="10">
        <v>461</v>
      </c>
      <c r="C30" s="15">
        <v>32</v>
      </c>
      <c r="D30" s="1"/>
      <c r="E30" s="1"/>
      <c r="F30" s="1"/>
    </row>
    <row r="31" spans="1:6" ht="22.8" x14ac:dyDescent="0.3">
      <c r="A31" s="10">
        <v>6.75</v>
      </c>
      <c r="B31" s="10">
        <v>423</v>
      </c>
      <c r="C31" s="15">
        <v>30.5</v>
      </c>
      <c r="D31" s="1"/>
      <c r="E31" s="1"/>
      <c r="F31" s="1"/>
    </row>
    <row r="32" spans="1:6" ht="22.8" x14ac:dyDescent="0.3">
      <c r="A32" s="10">
        <v>6.76</v>
      </c>
      <c r="B32" s="10">
        <v>437</v>
      </c>
      <c r="C32" s="15">
        <v>30.44</v>
      </c>
      <c r="D32" s="1"/>
      <c r="E32" s="1"/>
      <c r="F32" s="1"/>
    </row>
    <row r="33" spans="1:6" ht="22.8" x14ac:dyDescent="0.3">
      <c r="A33" s="10">
        <v>6.76</v>
      </c>
      <c r="B33" s="10">
        <v>422</v>
      </c>
      <c r="C33" s="15">
        <v>30.44</v>
      </c>
      <c r="D33" s="1"/>
      <c r="E33" s="1"/>
      <c r="F33" s="1"/>
    </row>
    <row r="34" spans="1:6" ht="22.8" x14ac:dyDescent="0.3">
      <c r="A34" s="10">
        <v>6.75</v>
      </c>
      <c r="B34" s="10">
        <v>424</v>
      </c>
      <c r="C34" s="15">
        <v>30.37</v>
      </c>
      <c r="D34" s="1"/>
      <c r="E34" s="1"/>
      <c r="F34" s="1"/>
    </row>
    <row r="35" spans="1:6" ht="23.4" thickBot="1" x14ac:dyDescent="0.35">
      <c r="A35" s="10">
        <v>6.77</v>
      </c>
      <c r="B35" s="10">
        <v>421</v>
      </c>
      <c r="C35" s="15">
        <v>30.37</v>
      </c>
      <c r="D35" s="1"/>
      <c r="E35" s="1"/>
      <c r="F35" s="1"/>
    </row>
    <row r="36" spans="1:6" ht="23.4" thickBot="1" x14ac:dyDescent="0.35">
      <c r="A36" s="19">
        <f>AVERAGE(A6:A35)</f>
        <v>6.690666666666667</v>
      </c>
      <c r="B36" s="19">
        <f>AVERAGE(B6:B35)</f>
        <v>475.36666666666667</v>
      </c>
      <c r="C36" s="19">
        <f>AVERAGE(C6:C35)</f>
        <v>32.671333333333337</v>
      </c>
      <c r="D36" s="20" t="s">
        <v>46</v>
      </c>
    </row>
    <row r="37" spans="1:6" ht="23.4" thickBot="1" x14ac:dyDescent="0.45">
      <c r="A37" s="17">
        <f>MAX(A6:A36)</f>
        <v>6.77</v>
      </c>
      <c r="B37" s="17">
        <f>MAX(B6:B36)</f>
        <v>511</v>
      </c>
      <c r="C37" s="17">
        <f>MAX(C13:C36)</f>
        <v>33.5</v>
      </c>
      <c r="D37" s="18" t="s">
        <v>47</v>
      </c>
    </row>
    <row r="38" spans="1:6" ht="23.4" thickBot="1" x14ac:dyDescent="0.45">
      <c r="A38" s="21">
        <f>MIN(A6:A37)</f>
        <v>6.63</v>
      </c>
      <c r="B38" s="21">
        <f>MIN(B6:B37)</f>
        <v>421</v>
      </c>
      <c r="C38" s="21">
        <f>MIN(C13:C37)</f>
        <v>30.37</v>
      </c>
      <c r="D38" s="2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3094-A78F-455B-AC19-02575FA11125}">
  <dimension ref="A1:F38"/>
  <sheetViews>
    <sheetView topLeftCell="A3" zoomScale="38" workbookViewId="0">
      <selection activeCell="K24" sqref="K24"/>
    </sheetView>
  </sheetViews>
  <sheetFormatPr defaultRowHeight="14.4" x14ac:dyDescent="0.3"/>
  <cols>
    <col min="1" max="1" width="18.6640625" customWidth="1"/>
    <col min="2" max="2" width="27.109375" customWidth="1"/>
    <col min="3" max="3" width="28.88671875" customWidth="1"/>
    <col min="4" max="4" width="23.6640625" customWidth="1"/>
  </cols>
  <sheetData>
    <row r="1" spans="1:6" ht="23.4" thickBot="1" x14ac:dyDescent="0.35">
      <c r="A1" s="6" t="s">
        <v>0</v>
      </c>
      <c r="B1" s="4" t="s">
        <v>1</v>
      </c>
      <c r="C1" s="6" t="s">
        <v>4</v>
      </c>
    </row>
    <row r="2" spans="1:6" ht="23.4" thickBot="1" x14ac:dyDescent="0.35">
      <c r="A2" s="6" t="s">
        <v>0</v>
      </c>
      <c r="B2" s="4" t="s">
        <v>2</v>
      </c>
      <c r="C2" s="6" t="s">
        <v>5</v>
      </c>
    </row>
    <row r="3" spans="1:6" ht="23.4" thickBot="1" x14ac:dyDescent="0.35">
      <c r="A3" s="9" t="s">
        <v>0</v>
      </c>
      <c r="B3" s="6" t="s">
        <v>3</v>
      </c>
      <c r="C3" s="9" t="s">
        <v>6</v>
      </c>
    </row>
    <row r="4" spans="1:6" ht="23.4" thickBot="1" x14ac:dyDescent="0.35">
      <c r="A4" s="2"/>
      <c r="B4" s="2"/>
      <c r="C4" s="2"/>
    </row>
    <row r="5" spans="1:6" ht="23.4" thickBot="1" x14ac:dyDescent="0.35">
      <c r="A5" s="11" t="s">
        <v>7</v>
      </c>
      <c r="B5" s="11" t="s">
        <v>8</v>
      </c>
      <c r="C5" s="11" t="s">
        <v>9</v>
      </c>
      <c r="D5" s="7"/>
      <c r="E5" s="7"/>
      <c r="F5" s="7"/>
    </row>
    <row r="6" spans="1:6" ht="22.8" x14ac:dyDescent="0.3">
      <c r="A6" s="10">
        <v>7.1</v>
      </c>
      <c r="B6" s="10">
        <v>496</v>
      </c>
      <c r="C6" s="10">
        <v>27.4</v>
      </c>
    </row>
    <row r="7" spans="1:6" ht="22.8" x14ac:dyDescent="0.3">
      <c r="A7" s="10">
        <v>7.1</v>
      </c>
      <c r="B7" s="10">
        <v>496</v>
      </c>
      <c r="C7" s="10">
        <v>27.4</v>
      </c>
    </row>
    <row r="8" spans="1:6" ht="22.8" x14ac:dyDescent="0.3">
      <c r="A8" s="10">
        <v>7.2</v>
      </c>
      <c r="B8" s="10">
        <v>509</v>
      </c>
      <c r="C8" s="10">
        <v>27.4</v>
      </c>
    </row>
    <row r="9" spans="1:6" ht="22.8" x14ac:dyDescent="0.3">
      <c r="A9" s="10">
        <v>7.2</v>
      </c>
      <c r="B9" s="10">
        <v>509</v>
      </c>
      <c r="C9" s="10">
        <v>27.4</v>
      </c>
    </row>
    <row r="10" spans="1:6" ht="22.8" x14ac:dyDescent="0.3">
      <c r="A10" s="10">
        <v>7.2</v>
      </c>
      <c r="B10" s="10">
        <v>511</v>
      </c>
      <c r="C10" s="10">
        <v>27.4</v>
      </c>
    </row>
    <row r="11" spans="1:6" ht="22.8" x14ac:dyDescent="0.3">
      <c r="A11" s="10">
        <v>7.1</v>
      </c>
      <c r="B11" s="10">
        <v>511</v>
      </c>
      <c r="C11" s="10">
        <v>27.4</v>
      </c>
    </row>
    <row r="12" spans="1:6" ht="22.8" x14ac:dyDescent="0.3">
      <c r="A12" s="10">
        <v>7.1</v>
      </c>
      <c r="B12" s="10">
        <v>511</v>
      </c>
      <c r="C12" s="10">
        <v>27.4</v>
      </c>
    </row>
    <row r="13" spans="1:6" ht="22.8" x14ac:dyDescent="0.3">
      <c r="A13" s="10">
        <v>7.2</v>
      </c>
      <c r="B13" s="10">
        <v>511</v>
      </c>
      <c r="C13" s="10">
        <v>27.4</v>
      </c>
    </row>
    <row r="14" spans="1:6" ht="22.8" x14ac:dyDescent="0.3">
      <c r="A14" s="10">
        <v>7.2</v>
      </c>
      <c r="B14" s="10">
        <v>511</v>
      </c>
      <c r="C14" s="10">
        <v>27.4</v>
      </c>
    </row>
    <row r="15" spans="1:6" ht="22.8" x14ac:dyDescent="0.3">
      <c r="A15" s="10">
        <v>7.2</v>
      </c>
      <c r="B15" s="10">
        <v>511</v>
      </c>
      <c r="C15" s="10">
        <v>27.4</v>
      </c>
    </row>
    <row r="16" spans="1:6" ht="22.8" x14ac:dyDescent="0.3">
      <c r="A16" s="10">
        <v>7.2</v>
      </c>
      <c r="B16" s="10">
        <v>511</v>
      </c>
      <c r="C16" s="10">
        <v>27.4</v>
      </c>
    </row>
    <row r="17" spans="1:6" ht="22.8" x14ac:dyDescent="0.3">
      <c r="A17" s="10">
        <v>7.2</v>
      </c>
      <c r="B17" s="10">
        <v>502</v>
      </c>
      <c r="C17" s="10">
        <v>27.4</v>
      </c>
    </row>
    <row r="18" spans="1:6" ht="22.8" x14ac:dyDescent="0.3">
      <c r="A18" s="10">
        <v>7.1</v>
      </c>
      <c r="B18" s="10">
        <v>502</v>
      </c>
      <c r="C18" s="10">
        <v>27.4</v>
      </c>
    </row>
    <row r="19" spans="1:6" ht="22.8" x14ac:dyDescent="0.3">
      <c r="A19" s="10">
        <v>7.1</v>
      </c>
      <c r="B19" s="10">
        <v>502</v>
      </c>
      <c r="C19" s="10">
        <v>27.4</v>
      </c>
    </row>
    <row r="20" spans="1:6" ht="22.8" x14ac:dyDescent="0.3">
      <c r="A20" s="10">
        <v>7.1</v>
      </c>
      <c r="B20" s="10">
        <v>476</v>
      </c>
      <c r="C20" s="10">
        <v>27.6</v>
      </c>
    </row>
    <row r="21" spans="1:6" ht="22.8" x14ac:dyDescent="0.3">
      <c r="A21" s="10">
        <v>7.1</v>
      </c>
      <c r="B21" s="10">
        <v>464</v>
      </c>
      <c r="C21" s="10">
        <v>27.6</v>
      </c>
    </row>
    <row r="22" spans="1:6" ht="22.8" x14ac:dyDescent="0.3">
      <c r="A22" s="10">
        <v>7.1</v>
      </c>
      <c r="B22" s="10">
        <v>464</v>
      </c>
      <c r="C22" s="10">
        <v>27.6</v>
      </c>
    </row>
    <row r="23" spans="1:6" ht="22.8" x14ac:dyDescent="0.4">
      <c r="A23" s="10">
        <v>7.2</v>
      </c>
      <c r="B23" s="10">
        <v>463</v>
      </c>
      <c r="C23" s="10">
        <v>27.5</v>
      </c>
      <c r="F23" s="8"/>
    </row>
    <row r="24" spans="1:6" ht="22.8" x14ac:dyDescent="0.3">
      <c r="A24" s="10">
        <v>7.1</v>
      </c>
      <c r="B24" s="10">
        <v>458</v>
      </c>
      <c r="C24" s="10">
        <v>27.6</v>
      </c>
    </row>
    <row r="25" spans="1:6" ht="22.8" x14ac:dyDescent="0.3">
      <c r="A25" s="10">
        <v>7.1</v>
      </c>
      <c r="B25" s="10">
        <v>458</v>
      </c>
      <c r="C25" s="10">
        <v>27.6</v>
      </c>
    </row>
    <row r="26" spans="1:6" ht="22.8" x14ac:dyDescent="0.3">
      <c r="A26" s="10">
        <v>7.1</v>
      </c>
      <c r="B26" s="10">
        <v>458</v>
      </c>
      <c r="C26" s="10">
        <v>27.6</v>
      </c>
    </row>
    <row r="27" spans="1:6" ht="22.8" x14ac:dyDescent="0.3">
      <c r="A27" s="10">
        <v>7.1</v>
      </c>
      <c r="B27" s="10">
        <v>455</v>
      </c>
      <c r="C27" s="10">
        <v>27.6</v>
      </c>
    </row>
    <row r="28" spans="1:6" ht="22.8" x14ac:dyDescent="0.3">
      <c r="A28" s="10">
        <v>7.1</v>
      </c>
      <c r="B28" s="10">
        <v>449</v>
      </c>
      <c r="C28" s="10">
        <v>27.6</v>
      </c>
    </row>
    <row r="29" spans="1:6" ht="22.8" x14ac:dyDescent="0.3">
      <c r="A29" s="10">
        <v>7.2</v>
      </c>
      <c r="B29" s="10">
        <v>450</v>
      </c>
      <c r="C29" s="10">
        <v>27.6</v>
      </c>
    </row>
    <row r="30" spans="1:6" ht="22.8" x14ac:dyDescent="0.3">
      <c r="A30" s="10">
        <v>7.1</v>
      </c>
      <c r="B30" s="10">
        <v>447</v>
      </c>
      <c r="C30" s="10">
        <v>27.6</v>
      </c>
    </row>
    <row r="31" spans="1:6" ht="22.8" x14ac:dyDescent="0.3">
      <c r="A31" s="10">
        <v>7.1</v>
      </c>
      <c r="B31" s="10">
        <v>446</v>
      </c>
      <c r="C31" s="10">
        <v>27.6</v>
      </c>
    </row>
    <row r="32" spans="1:6" ht="22.8" x14ac:dyDescent="0.3">
      <c r="A32" s="10">
        <v>7.2</v>
      </c>
      <c r="B32" s="10">
        <v>437</v>
      </c>
      <c r="C32" s="10">
        <v>27.6</v>
      </c>
    </row>
    <row r="33" spans="1:4" ht="22.8" x14ac:dyDescent="0.3">
      <c r="A33" s="10">
        <v>7.1</v>
      </c>
      <c r="B33" s="10">
        <v>435</v>
      </c>
      <c r="C33" s="10">
        <v>27.6</v>
      </c>
    </row>
    <row r="34" spans="1:4" ht="22.8" x14ac:dyDescent="0.3">
      <c r="A34" s="10">
        <v>7.1</v>
      </c>
      <c r="B34" s="10">
        <v>440</v>
      </c>
      <c r="C34" s="10">
        <v>27.6</v>
      </c>
    </row>
    <row r="35" spans="1:4" ht="23.4" thickBot="1" x14ac:dyDescent="0.35">
      <c r="A35" s="10">
        <v>7.1</v>
      </c>
      <c r="B35" s="10">
        <v>432</v>
      </c>
      <c r="C35" s="10">
        <v>27.6</v>
      </c>
    </row>
    <row r="36" spans="1:4" ht="23.4" thickBot="1" x14ac:dyDescent="0.35">
      <c r="A36" s="19">
        <f>AVERAGE(A6:A35)</f>
        <v>7.136666666666664</v>
      </c>
      <c r="B36" s="19">
        <f>AVERAGE(B6:B35)</f>
        <v>477.5</v>
      </c>
      <c r="C36" s="19">
        <f>AVERAGE(C6:C35)</f>
        <v>27.503333333333341</v>
      </c>
      <c r="D36" s="20" t="s">
        <v>46</v>
      </c>
    </row>
    <row r="37" spans="1:4" ht="23.4" thickBot="1" x14ac:dyDescent="0.45">
      <c r="A37" s="17">
        <f>MAX(A6:A36)</f>
        <v>7.2</v>
      </c>
      <c r="B37" s="17">
        <f>MAX(B6:B36)</f>
        <v>511</v>
      </c>
      <c r="C37" s="17">
        <f>MAX(C13:C36)</f>
        <v>27.6</v>
      </c>
      <c r="D37" s="18" t="s">
        <v>47</v>
      </c>
    </row>
    <row r="38" spans="1:4" ht="23.4" thickBot="1" x14ac:dyDescent="0.45">
      <c r="A38" s="21">
        <f>MIN(A6:A37)</f>
        <v>7.1</v>
      </c>
      <c r="B38" s="21">
        <f>MIN(B6:B37)</f>
        <v>432</v>
      </c>
      <c r="C38" s="21">
        <f>MIN(C13:C37)</f>
        <v>27.4</v>
      </c>
      <c r="D38" s="22" t="s">
        <v>48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B9EA-3730-43AB-96E0-058ECE18C45D}">
  <dimension ref="A1:D38"/>
  <sheetViews>
    <sheetView zoomScale="34" workbookViewId="0">
      <selection activeCell="AE49" sqref="AE49"/>
    </sheetView>
  </sheetViews>
  <sheetFormatPr defaultRowHeight="14.4" x14ac:dyDescent="0.3"/>
  <cols>
    <col min="1" max="1" width="16.33203125" customWidth="1"/>
    <col min="2" max="2" width="20.6640625" customWidth="1"/>
    <col min="3" max="3" width="25.33203125" customWidth="1"/>
    <col min="4" max="4" width="23.5546875" customWidth="1"/>
  </cols>
  <sheetData>
    <row r="1" spans="1:3" ht="23.4" thickBot="1" x14ac:dyDescent="0.35">
      <c r="A1" s="6" t="s">
        <v>16</v>
      </c>
      <c r="B1" s="6" t="s">
        <v>18</v>
      </c>
      <c r="C1" s="6" t="s">
        <v>21</v>
      </c>
    </row>
    <row r="2" spans="1:3" ht="23.4" thickBot="1" x14ac:dyDescent="0.35">
      <c r="A2" s="6" t="s">
        <v>17</v>
      </c>
      <c r="B2" s="6" t="s">
        <v>19</v>
      </c>
      <c r="C2" s="6" t="s">
        <v>22</v>
      </c>
    </row>
    <row r="3" spans="1:3" ht="23.4" thickBot="1" x14ac:dyDescent="0.35">
      <c r="A3" s="9" t="s">
        <v>16</v>
      </c>
      <c r="B3" s="9" t="s">
        <v>20</v>
      </c>
      <c r="C3" s="9" t="s">
        <v>22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1" t="s">
        <v>8</v>
      </c>
      <c r="C5" s="11" t="s">
        <v>9</v>
      </c>
    </row>
    <row r="6" spans="1:3" ht="22.8" x14ac:dyDescent="0.3">
      <c r="A6" s="10">
        <v>6.9</v>
      </c>
      <c r="B6" s="10">
        <v>425</v>
      </c>
      <c r="C6" s="10">
        <v>27.8</v>
      </c>
    </row>
    <row r="7" spans="1:3" ht="22.8" x14ac:dyDescent="0.3">
      <c r="A7" s="10">
        <v>6.9</v>
      </c>
      <c r="B7" s="10">
        <v>462</v>
      </c>
      <c r="C7" s="10">
        <v>27.8</v>
      </c>
    </row>
    <row r="8" spans="1:3" ht="22.8" x14ac:dyDescent="0.3">
      <c r="A8" s="10">
        <v>6.8</v>
      </c>
      <c r="B8" s="10">
        <v>479</v>
      </c>
      <c r="C8" s="10">
        <v>27.8</v>
      </c>
    </row>
    <row r="9" spans="1:3" ht="22.8" x14ac:dyDescent="0.3">
      <c r="A9" s="10">
        <v>6.9</v>
      </c>
      <c r="B9" s="10">
        <v>497</v>
      </c>
      <c r="C9" s="10">
        <v>27.8</v>
      </c>
    </row>
    <row r="10" spans="1:3" ht="22.8" x14ac:dyDescent="0.3">
      <c r="A10" s="10">
        <v>6.9</v>
      </c>
      <c r="B10" s="10">
        <v>499</v>
      </c>
      <c r="C10" s="10">
        <v>27.8</v>
      </c>
    </row>
    <row r="11" spans="1:3" ht="22.8" x14ac:dyDescent="0.3">
      <c r="A11" s="10">
        <v>6.9</v>
      </c>
      <c r="B11" s="10">
        <v>508</v>
      </c>
      <c r="C11" s="10">
        <v>27.8</v>
      </c>
    </row>
    <row r="12" spans="1:3" ht="22.8" x14ac:dyDescent="0.3">
      <c r="A12" s="10">
        <v>6.8</v>
      </c>
      <c r="B12" s="10">
        <v>497</v>
      </c>
      <c r="C12" s="10">
        <v>27.8</v>
      </c>
    </row>
    <row r="13" spans="1:3" ht="22.8" x14ac:dyDescent="0.3">
      <c r="A13" s="10">
        <v>6.9</v>
      </c>
      <c r="B13" s="10">
        <v>498</v>
      </c>
      <c r="C13" s="10">
        <v>27.8</v>
      </c>
    </row>
    <row r="14" spans="1:3" ht="22.8" x14ac:dyDescent="0.3">
      <c r="A14" s="10">
        <v>6.8</v>
      </c>
      <c r="B14" s="10">
        <v>500</v>
      </c>
      <c r="C14" s="10">
        <v>27.8</v>
      </c>
    </row>
    <row r="15" spans="1:3" ht="22.8" x14ac:dyDescent="0.3">
      <c r="A15" s="10">
        <v>6.8</v>
      </c>
      <c r="B15" s="10">
        <v>496</v>
      </c>
      <c r="C15" s="10">
        <v>27.8</v>
      </c>
    </row>
    <row r="16" spans="1:3" ht="22.8" x14ac:dyDescent="0.3">
      <c r="A16" s="10">
        <v>6.9</v>
      </c>
      <c r="B16" s="10">
        <v>494</v>
      </c>
      <c r="C16" s="10">
        <v>27.8</v>
      </c>
    </row>
    <row r="17" spans="1:3" ht="22.8" x14ac:dyDescent="0.3">
      <c r="A17" s="10">
        <v>6.9</v>
      </c>
      <c r="B17" s="10">
        <v>483</v>
      </c>
      <c r="C17" s="10">
        <v>27.8</v>
      </c>
    </row>
    <row r="18" spans="1:3" ht="22.8" x14ac:dyDescent="0.3">
      <c r="A18" s="10">
        <v>6.8</v>
      </c>
      <c r="B18" s="10">
        <v>485</v>
      </c>
      <c r="C18" s="10">
        <v>27.8</v>
      </c>
    </row>
    <row r="19" spans="1:3" ht="22.8" x14ac:dyDescent="0.3">
      <c r="A19" s="10">
        <v>6.8</v>
      </c>
      <c r="B19" s="10">
        <v>467</v>
      </c>
      <c r="C19" s="10">
        <v>27.8</v>
      </c>
    </row>
    <row r="20" spans="1:3" ht="22.8" x14ac:dyDescent="0.3">
      <c r="A20" s="10">
        <v>6.9</v>
      </c>
      <c r="B20" s="10">
        <v>459</v>
      </c>
      <c r="C20" s="10">
        <v>27.8</v>
      </c>
    </row>
    <row r="21" spans="1:3" ht="22.8" x14ac:dyDescent="0.3">
      <c r="A21" s="10">
        <v>6.9</v>
      </c>
      <c r="B21" s="10">
        <v>464</v>
      </c>
      <c r="C21" s="10">
        <v>27.8</v>
      </c>
    </row>
    <row r="22" spans="1:3" ht="22.8" x14ac:dyDescent="0.3">
      <c r="A22" s="10">
        <v>6.9</v>
      </c>
      <c r="B22" s="10">
        <v>449</v>
      </c>
      <c r="C22" s="10">
        <v>27.8</v>
      </c>
    </row>
    <row r="23" spans="1:3" ht="22.8" x14ac:dyDescent="0.3">
      <c r="A23" s="10">
        <v>6.9</v>
      </c>
      <c r="B23" s="10">
        <v>453</v>
      </c>
      <c r="C23" s="10">
        <v>27.8</v>
      </c>
    </row>
    <row r="24" spans="1:3" ht="22.8" x14ac:dyDescent="0.3">
      <c r="A24" s="10">
        <v>6.9</v>
      </c>
      <c r="B24" s="10">
        <v>450</v>
      </c>
      <c r="C24" s="10">
        <v>27.8</v>
      </c>
    </row>
    <row r="25" spans="1:3" ht="22.8" x14ac:dyDescent="0.3">
      <c r="A25" s="10">
        <v>6.9</v>
      </c>
      <c r="B25" s="10">
        <v>438</v>
      </c>
      <c r="C25" s="10">
        <v>27.8</v>
      </c>
    </row>
    <row r="26" spans="1:3" ht="22.8" x14ac:dyDescent="0.3">
      <c r="A26" s="10">
        <v>6.8</v>
      </c>
      <c r="B26" s="10">
        <v>443</v>
      </c>
      <c r="C26" s="10">
        <v>27.8</v>
      </c>
    </row>
    <row r="27" spans="1:3" ht="22.8" x14ac:dyDescent="0.3">
      <c r="A27" s="10">
        <v>6.9</v>
      </c>
      <c r="B27" s="10">
        <v>437</v>
      </c>
      <c r="C27" s="10">
        <v>27.8</v>
      </c>
    </row>
    <row r="28" spans="1:3" ht="22.8" x14ac:dyDescent="0.3">
      <c r="A28" s="10">
        <v>6.8</v>
      </c>
      <c r="B28" s="10">
        <v>435</v>
      </c>
      <c r="C28" s="10">
        <v>27.8</v>
      </c>
    </row>
    <row r="29" spans="1:3" ht="22.8" x14ac:dyDescent="0.3">
      <c r="A29" s="10">
        <v>6.9</v>
      </c>
      <c r="B29" s="10">
        <v>437</v>
      </c>
      <c r="C29" s="10">
        <v>27.8</v>
      </c>
    </row>
    <row r="30" spans="1:3" ht="22.8" x14ac:dyDescent="0.3">
      <c r="A30" s="10">
        <v>6.9</v>
      </c>
      <c r="B30" s="10">
        <v>432</v>
      </c>
      <c r="C30" s="10">
        <v>27.8</v>
      </c>
    </row>
    <row r="31" spans="1:3" ht="22.8" x14ac:dyDescent="0.3">
      <c r="A31" s="10">
        <v>6.9</v>
      </c>
      <c r="B31" s="10">
        <v>421</v>
      </c>
      <c r="C31" s="10">
        <v>27.8</v>
      </c>
    </row>
    <row r="32" spans="1:3" ht="22.8" x14ac:dyDescent="0.3">
      <c r="A32" s="10">
        <v>6.8</v>
      </c>
      <c r="B32" s="10">
        <v>426</v>
      </c>
      <c r="C32" s="10">
        <v>27.8</v>
      </c>
    </row>
    <row r="33" spans="1:4" ht="22.8" x14ac:dyDescent="0.3">
      <c r="A33" s="10">
        <v>6.9</v>
      </c>
      <c r="B33" s="10">
        <v>417</v>
      </c>
      <c r="C33" s="10">
        <v>27.8</v>
      </c>
    </row>
    <row r="34" spans="1:4" ht="22.8" x14ac:dyDescent="0.3">
      <c r="A34" s="10">
        <v>6.9</v>
      </c>
      <c r="B34" s="10">
        <v>423</v>
      </c>
      <c r="C34" s="10">
        <v>27.8</v>
      </c>
    </row>
    <row r="35" spans="1:4" ht="23.4" thickBot="1" x14ac:dyDescent="0.35">
      <c r="A35" s="10">
        <v>6.9</v>
      </c>
      <c r="B35" s="10">
        <v>414</v>
      </c>
      <c r="C35" s="10">
        <v>27.8</v>
      </c>
    </row>
    <row r="36" spans="1:4" ht="23.4" thickBot="1" x14ac:dyDescent="0.35">
      <c r="A36" s="19">
        <f>AVERAGE(A6:A35)</f>
        <v>6.8700000000000037</v>
      </c>
      <c r="B36" s="19">
        <f>AVERAGE(B6:B35)</f>
        <v>459.6</v>
      </c>
      <c r="C36" s="19">
        <f>AVERAGE(C6:C35)</f>
        <v>27.79999999999999</v>
      </c>
      <c r="D36" s="20" t="s">
        <v>46</v>
      </c>
    </row>
    <row r="37" spans="1:4" ht="23.4" thickBot="1" x14ac:dyDescent="0.45">
      <c r="A37" s="17">
        <f>MAX(A6:A36)</f>
        <v>6.9</v>
      </c>
      <c r="B37" s="17">
        <f>MAX(B6:B36)</f>
        <v>508</v>
      </c>
      <c r="C37" s="17">
        <f>MAX(C13:C36)</f>
        <v>27.8</v>
      </c>
      <c r="D37" s="18" t="s">
        <v>47</v>
      </c>
    </row>
    <row r="38" spans="1:4" ht="23.4" thickBot="1" x14ac:dyDescent="0.45">
      <c r="A38" s="21">
        <f>MIN(A6:A37)</f>
        <v>6.8</v>
      </c>
      <c r="B38" s="21">
        <f>MIN(B6:B37)</f>
        <v>414</v>
      </c>
      <c r="C38" s="21">
        <f>MIN(C13:C37)</f>
        <v>27.79999999999999</v>
      </c>
      <c r="D38" s="22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75AD-58FF-4C69-9CFE-9745BA386CBC}">
  <dimension ref="A1:D38"/>
  <sheetViews>
    <sheetView zoomScale="28" workbookViewId="0">
      <selection activeCell="C48" sqref="C48"/>
    </sheetView>
  </sheetViews>
  <sheetFormatPr defaultRowHeight="13.8" x14ac:dyDescent="0.25"/>
  <cols>
    <col min="1" max="1" width="22" style="16" customWidth="1"/>
    <col min="2" max="2" width="23.77734375" style="16" customWidth="1"/>
    <col min="3" max="3" width="27.77734375" style="16" customWidth="1"/>
    <col min="4" max="4" width="23.21875" style="16" customWidth="1"/>
    <col min="5" max="16384" width="8.88671875" style="16"/>
  </cols>
  <sheetData>
    <row r="1" spans="1:3" ht="23.4" thickBot="1" x14ac:dyDescent="0.3">
      <c r="A1" s="3" t="s">
        <v>10</v>
      </c>
      <c r="B1" s="6" t="s">
        <v>12</v>
      </c>
      <c r="C1" s="5" t="s">
        <v>4</v>
      </c>
    </row>
    <row r="2" spans="1:3" ht="23.4" thickBot="1" x14ac:dyDescent="0.3">
      <c r="A2" s="3" t="s">
        <v>11</v>
      </c>
      <c r="B2" s="6" t="s">
        <v>13</v>
      </c>
      <c r="C2" s="5" t="s">
        <v>15</v>
      </c>
    </row>
    <row r="3" spans="1:3" ht="23.4" thickBot="1" x14ac:dyDescent="0.3">
      <c r="A3" s="3" t="s">
        <v>11</v>
      </c>
      <c r="B3" s="6" t="s">
        <v>14</v>
      </c>
      <c r="C3" s="5" t="s">
        <v>15</v>
      </c>
    </row>
    <row r="4" spans="1:3" ht="23.4" thickBot="1" x14ac:dyDescent="0.3">
      <c r="A4" s="2"/>
      <c r="B4" s="2"/>
      <c r="C4" s="2"/>
    </row>
    <row r="5" spans="1:3" ht="23.4" thickBot="1" x14ac:dyDescent="0.3">
      <c r="A5" s="11" t="s">
        <v>7</v>
      </c>
      <c r="B5" s="12" t="s">
        <v>8</v>
      </c>
      <c r="C5" s="12" t="s">
        <v>9</v>
      </c>
    </row>
    <row r="6" spans="1:3" ht="22.8" x14ac:dyDescent="0.25">
      <c r="A6" s="10">
        <v>6.85</v>
      </c>
      <c r="B6" s="10">
        <v>470</v>
      </c>
      <c r="C6" s="10">
        <v>29.81</v>
      </c>
    </row>
    <row r="7" spans="1:3" ht="22.8" x14ac:dyDescent="0.25">
      <c r="A7" s="10">
        <v>6.85</v>
      </c>
      <c r="B7" s="10">
        <v>526</v>
      </c>
      <c r="C7" s="10">
        <v>29.81</v>
      </c>
    </row>
    <row r="8" spans="1:3" ht="22.8" x14ac:dyDescent="0.25">
      <c r="A8" s="10">
        <v>6.85</v>
      </c>
      <c r="B8" s="10">
        <v>557</v>
      </c>
      <c r="C8" s="10">
        <v>29.81</v>
      </c>
    </row>
    <row r="9" spans="1:3" ht="22.8" x14ac:dyDescent="0.25">
      <c r="A9" s="10">
        <v>6.84</v>
      </c>
      <c r="B9" s="10">
        <v>560</v>
      </c>
      <c r="C9" s="10">
        <v>29.81</v>
      </c>
    </row>
    <row r="10" spans="1:3" ht="22.8" x14ac:dyDescent="0.25">
      <c r="A10" s="10">
        <v>6.85</v>
      </c>
      <c r="B10" s="10">
        <v>557</v>
      </c>
      <c r="C10" s="10">
        <v>29.81</v>
      </c>
    </row>
    <row r="11" spans="1:3" ht="22.8" x14ac:dyDescent="0.25">
      <c r="A11" s="10">
        <v>6.85</v>
      </c>
      <c r="B11" s="10">
        <v>558</v>
      </c>
      <c r="C11" s="10">
        <v>29.81</v>
      </c>
    </row>
    <row r="12" spans="1:3" ht="22.8" x14ac:dyDescent="0.25">
      <c r="A12" s="10">
        <v>6.85</v>
      </c>
      <c r="B12" s="10">
        <v>548</v>
      </c>
      <c r="C12" s="10">
        <v>29.75</v>
      </c>
    </row>
    <row r="13" spans="1:3" ht="22.8" x14ac:dyDescent="0.25">
      <c r="A13" s="10">
        <v>6.85</v>
      </c>
      <c r="B13" s="10">
        <v>550</v>
      </c>
      <c r="C13" s="10">
        <v>29.75</v>
      </c>
    </row>
    <row r="14" spans="1:3" ht="22.8" x14ac:dyDescent="0.25">
      <c r="A14" s="10">
        <v>6.85</v>
      </c>
      <c r="B14" s="10">
        <v>531</v>
      </c>
      <c r="C14" s="10">
        <v>29.75</v>
      </c>
    </row>
    <row r="15" spans="1:3" ht="22.8" x14ac:dyDescent="0.25">
      <c r="A15" s="10">
        <v>6.84</v>
      </c>
      <c r="B15" s="10">
        <v>529</v>
      </c>
      <c r="C15" s="10">
        <v>29.75</v>
      </c>
    </row>
    <row r="16" spans="1:3" ht="22.8" x14ac:dyDescent="0.25">
      <c r="A16" s="10">
        <v>6.84</v>
      </c>
      <c r="B16" s="10">
        <v>528</v>
      </c>
      <c r="C16" s="10">
        <v>29.75</v>
      </c>
    </row>
    <row r="17" spans="1:3" ht="22.8" x14ac:dyDescent="0.25">
      <c r="A17" s="10">
        <v>6.84</v>
      </c>
      <c r="B17" s="10">
        <v>524</v>
      </c>
      <c r="C17" s="10">
        <v>29.75</v>
      </c>
    </row>
    <row r="18" spans="1:3" ht="22.8" x14ac:dyDescent="0.25">
      <c r="A18" s="10">
        <v>6.81</v>
      </c>
      <c r="B18" s="10">
        <v>509</v>
      </c>
      <c r="C18" s="10">
        <v>29.75</v>
      </c>
    </row>
    <row r="19" spans="1:3" ht="22.8" x14ac:dyDescent="0.25">
      <c r="A19" s="10">
        <v>6.84</v>
      </c>
      <c r="B19" s="10">
        <v>503</v>
      </c>
      <c r="C19" s="10">
        <v>29.81</v>
      </c>
    </row>
    <row r="20" spans="1:3" ht="22.8" x14ac:dyDescent="0.25">
      <c r="A20" s="10">
        <v>6.84</v>
      </c>
      <c r="B20" s="10">
        <v>493</v>
      </c>
      <c r="C20" s="10">
        <v>29.81</v>
      </c>
    </row>
    <row r="21" spans="1:3" ht="22.8" x14ac:dyDescent="0.25">
      <c r="A21" s="10">
        <v>6.84</v>
      </c>
      <c r="B21" s="10">
        <v>496</v>
      </c>
      <c r="C21" s="10">
        <v>29.81</v>
      </c>
    </row>
    <row r="22" spans="1:3" ht="22.8" x14ac:dyDescent="0.25">
      <c r="A22" s="10">
        <v>6.84</v>
      </c>
      <c r="B22" s="10">
        <v>480</v>
      </c>
      <c r="C22" s="10">
        <v>29.75</v>
      </c>
    </row>
    <row r="23" spans="1:3" ht="22.8" x14ac:dyDescent="0.25">
      <c r="A23" s="10">
        <v>6.84</v>
      </c>
      <c r="B23" s="10">
        <v>471</v>
      </c>
      <c r="C23" s="10">
        <v>29.75</v>
      </c>
    </row>
    <row r="24" spans="1:3" ht="22.8" x14ac:dyDescent="0.25">
      <c r="A24" s="10">
        <v>6.82</v>
      </c>
      <c r="B24" s="10">
        <v>458</v>
      </c>
      <c r="C24" s="10">
        <v>29.81</v>
      </c>
    </row>
    <row r="25" spans="1:3" ht="22.8" x14ac:dyDescent="0.25">
      <c r="A25" s="10">
        <v>6.83</v>
      </c>
      <c r="B25" s="10">
        <v>466</v>
      </c>
      <c r="C25" s="10">
        <v>29.75</v>
      </c>
    </row>
    <row r="26" spans="1:3" ht="22.8" x14ac:dyDescent="0.25">
      <c r="A26" s="10">
        <v>6.83</v>
      </c>
      <c r="B26" s="10">
        <v>461</v>
      </c>
      <c r="C26" s="10">
        <v>29.81</v>
      </c>
    </row>
    <row r="27" spans="1:3" ht="22.8" x14ac:dyDescent="0.25">
      <c r="A27" s="10">
        <v>6.82</v>
      </c>
      <c r="B27" s="10">
        <v>455</v>
      </c>
      <c r="C27" s="10">
        <v>29.75</v>
      </c>
    </row>
    <row r="28" spans="1:3" ht="22.8" x14ac:dyDescent="0.25">
      <c r="A28" s="10">
        <v>6.85</v>
      </c>
      <c r="B28" s="10">
        <v>451</v>
      </c>
      <c r="C28" s="10">
        <v>29.75</v>
      </c>
    </row>
    <row r="29" spans="1:3" ht="22.8" x14ac:dyDescent="0.25">
      <c r="A29" s="10">
        <v>6.85</v>
      </c>
      <c r="B29" s="10">
        <v>448</v>
      </c>
      <c r="C29" s="10">
        <v>29.75</v>
      </c>
    </row>
    <row r="30" spans="1:3" ht="22.8" x14ac:dyDescent="0.25">
      <c r="A30" s="10">
        <v>6.84</v>
      </c>
      <c r="B30" s="10">
        <v>449</v>
      </c>
      <c r="C30" s="10">
        <v>29.75</v>
      </c>
    </row>
    <row r="31" spans="1:3" ht="22.8" x14ac:dyDescent="0.25">
      <c r="A31" s="10">
        <v>6.82</v>
      </c>
      <c r="B31" s="10">
        <v>448</v>
      </c>
      <c r="C31" s="10">
        <v>29.81</v>
      </c>
    </row>
    <row r="32" spans="1:3" ht="22.8" x14ac:dyDescent="0.25">
      <c r="A32" s="10">
        <v>6.83</v>
      </c>
      <c r="B32" s="10">
        <v>443</v>
      </c>
      <c r="C32" s="10">
        <v>29.81</v>
      </c>
    </row>
    <row r="33" spans="1:4" ht="22.8" x14ac:dyDescent="0.25">
      <c r="A33" s="10">
        <v>6.84</v>
      </c>
      <c r="B33" s="10">
        <v>439</v>
      </c>
      <c r="C33" s="10">
        <v>29.81</v>
      </c>
    </row>
    <row r="34" spans="1:4" ht="22.8" x14ac:dyDescent="0.25">
      <c r="A34" s="10">
        <v>6.84</v>
      </c>
      <c r="B34" s="10">
        <v>432</v>
      </c>
      <c r="C34" s="10">
        <v>29.81</v>
      </c>
    </row>
    <row r="35" spans="1:4" ht="23.4" thickBot="1" x14ac:dyDescent="0.3">
      <c r="A35" s="10">
        <v>6.83</v>
      </c>
      <c r="B35" s="10">
        <v>432</v>
      </c>
      <c r="C35" s="10">
        <v>29.81</v>
      </c>
    </row>
    <row r="36" spans="1:4" ht="23.4" thickBot="1" x14ac:dyDescent="0.3">
      <c r="A36" s="19">
        <f>AVERAGE(A6:A35)</f>
        <v>6.8390000000000022</v>
      </c>
      <c r="B36" s="19">
        <f>AVERAGE(B6:B35)</f>
        <v>492.4</v>
      </c>
      <c r="C36" s="19">
        <f>AVERAGE(C6:C35)</f>
        <v>29.781999999999986</v>
      </c>
      <c r="D36" s="20" t="s">
        <v>46</v>
      </c>
    </row>
    <row r="37" spans="1:4" ht="23.4" thickBot="1" x14ac:dyDescent="0.45">
      <c r="A37" s="17">
        <f>MAX(A6:A36)</f>
        <v>6.85</v>
      </c>
      <c r="B37" s="17">
        <f>MAX(B6:B36)</f>
        <v>560</v>
      </c>
      <c r="C37" s="17">
        <f>MAX(C13:C36)</f>
        <v>29.81</v>
      </c>
      <c r="D37" s="18" t="s">
        <v>47</v>
      </c>
    </row>
    <row r="38" spans="1:4" ht="23.4" thickBot="1" x14ac:dyDescent="0.45">
      <c r="A38" s="21">
        <f>MIN(A6:A37)</f>
        <v>6.81</v>
      </c>
      <c r="B38" s="21">
        <f>MIN(B6:B37)</f>
        <v>432</v>
      </c>
      <c r="C38" s="21">
        <f>MIN(C13:C37)</f>
        <v>29.75</v>
      </c>
      <c r="D38" s="2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F849-D60D-4858-9E64-9BE60C0BF5E3}">
  <dimension ref="A1:D38"/>
  <sheetViews>
    <sheetView zoomScale="33" workbookViewId="0">
      <selection activeCell="N49" sqref="N49"/>
    </sheetView>
  </sheetViews>
  <sheetFormatPr defaultRowHeight="14.4" x14ac:dyDescent="0.3"/>
  <cols>
    <col min="1" max="1" width="15.33203125" customWidth="1"/>
    <col min="2" max="2" width="22.5546875" customWidth="1"/>
    <col min="3" max="3" width="26.5546875" customWidth="1"/>
    <col min="4" max="4" width="26.109375" customWidth="1"/>
  </cols>
  <sheetData>
    <row r="1" spans="1:3" ht="23.4" thickBot="1" x14ac:dyDescent="0.35">
      <c r="A1" s="6" t="s">
        <v>17</v>
      </c>
      <c r="B1" s="6" t="s">
        <v>23</v>
      </c>
      <c r="C1" s="5" t="s">
        <v>4</v>
      </c>
    </row>
    <row r="2" spans="1:3" ht="23.4" thickBot="1" x14ac:dyDescent="0.35">
      <c r="A2" s="6" t="s">
        <v>17</v>
      </c>
      <c r="B2" s="6" t="s">
        <v>24</v>
      </c>
      <c r="C2" s="5" t="s">
        <v>25</v>
      </c>
    </row>
    <row r="3" spans="1:3" ht="23.4" thickBot="1" x14ac:dyDescent="0.35">
      <c r="A3" s="6" t="s">
        <v>17</v>
      </c>
      <c r="B3" s="6" t="s">
        <v>26</v>
      </c>
      <c r="C3" s="5" t="s">
        <v>25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2" t="s">
        <v>8</v>
      </c>
      <c r="C5" s="12" t="s">
        <v>9</v>
      </c>
    </row>
    <row r="6" spans="1:3" ht="22.8" x14ac:dyDescent="0.3">
      <c r="A6" s="10">
        <v>6.8</v>
      </c>
      <c r="B6" s="10">
        <v>589</v>
      </c>
      <c r="C6" s="10">
        <v>31.4</v>
      </c>
    </row>
    <row r="7" spans="1:3" ht="22.8" x14ac:dyDescent="0.3">
      <c r="A7" s="10">
        <v>6.8</v>
      </c>
      <c r="B7" s="10">
        <v>674</v>
      </c>
      <c r="C7" s="10">
        <v>31.4</v>
      </c>
    </row>
    <row r="8" spans="1:3" ht="22.8" x14ac:dyDescent="0.3">
      <c r="A8" s="10">
        <v>6.8</v>
      </c>
      <c r="B8" s="10">
        <v>743</v>
      </c>
      <c r="C8" s="10">
        <v>31.4</v>
      </c>
    </row>
    <row r="9" spans="1:3" ht="22.8" x14ac:dyDescent="0.3">
      <c r="A9" s="10">
        <v>6.8</v>
      </c>
      <c r="B9" s="10">
        <v>778</v>
      </c>
      <c r="C9" s="10">
        <v>31.4</v>
      </c>
    </row>
    <row r="10" spans="1:3" ht="22.8" x14ac:dyDescent="0.3">
      <c r="A10" s="10">
        <v>6.8</v>
      </c>
      <c r="B10" s="10">
        <v>801</v>
      </c>
      <c r="C10" s="10">
        <v>31.4</v>
      </c>
    </row>
    <row r="11" spans="1:3" ht="22.8" x14ac:dyDescent="0.3">
      <c r="A11" s="10">
        <v>6.8</v>
      </c>
      <c r="B11" s="10">
        <v>784</v>
      </c>
      <c r="C11" s="10">
        <v>31.4</v>
      </c>
    </row>
    <row r="12" spans="1:3" ht="22.8" x14ac:dyDescent="0.3">
      <c r="A12" s="10">
        <v>6.8</v>
      </c>
      <c r="B12" s="10">
        <v>773</v>
      </c>
      <c r="C12" s="10">
        <v>31.4</v>
      </c>
    </row>
    <row r="13" spans="1:3" ht="22.8" x14ac:dyDescent="0.3">
      <c r="A13" s="10">
        <v>6.7</v>
      </c>
      <c r="B13" s="10">
        <v>611</v>
      </c>
      <c r="C13" s="10">
        <v>31.4</v>
      </c>
    </row>
    <row r="14" spans="1:3" ht="22.8" x14ac:dyDescent="0.3">
      <c r="A14" s="10">
        <v>6.8</v>
      </c>
      <c r="B14" s="10">
        <v>557</v>
      </c>
      <c r="C14" s="10">
        <v>31.4</v>
      </c>
    </row>
    <row r="15" spans="1:3" ht="22.8" x14ac:dyDescent="0.3">
      <c r="A15" s="10">
        <v>6.8</v>
      </c>
      <c r="B15" s="10">
        <v>581</v>
      </c>
      <c r="C15" s="10">
        <v>31.4</v>
      </c>
    </row>
    <row r="16" spans="1:3" ht="22.8" x14ac:dyDescent="0.3">
      <c r="A16" s="10">
        <v>6.8</v>
      </c>
      <c r="B16" s="10">
        <v>593</v>
      </c>
      <c r="C16" s="10">
        <v>31.4</v>
      </c>
    </row>
    <row r="17" spans="1:3" ht="22.8" x14ac:dyDescent="0.3">
      <c r="A17" s="10">
        <v>6.8</v>
      </c>
      <c r="B17" s="10">
        <v>603</v>
      </c>
      <c r="C17" s="10">
        <v>31.4</v>
      </c>
    </row>
    <row r="18" spans="1:3" ht="22.8" x14ac:dyDescent="0.3">
      <c r="A18" s="10">
        <v>6.8</v>
      </c>
      <c r="B18" s="10">
        <v>619</v>
      </c>
      <c r="C18" s="10">
        <v>31.4</v>
      </c>
    </row>
    <row r="19" spans="1:3" ht="22.8" x14ac:dyDescent="0.3">
      <c r="A19" s="10">
        <v>6.8</v>
      </c>
      <c r="B19" s="10">
        <v>614</v>
      </c>
      <c r="C19" s="10">
        <v>31.4</v>
      </c>
    </row>
    <row r="20" spans="1:3" ht="22.8" x14ac:dyDescent="0.3">
      <c r="A20" s="10">
        <v>6.8</v>
      </c>
      <c r="B20" s="10">
        <v>609</v>
      </c>
      <c r="C20" s="10">
        <v>31.4</v>
      </c>
    </row>
    <row r="21" spans="1:3" ht="22.8" x14ac:dyDescent="0.3">
      <c r="A21" s="10">
        <v>6.8</v>
      </c>
      <c r="B21" s="10">
        <v>607</v>
      </c>
      <c r="C21" s="10">
        <v>31.4</v>
      </c>
    </row>
    <row r="22" spans="1:3" ht="22.8" x14ac:dyDescent="0.3">
      <c r="A22" s="10">
        <v>6.7</v>
      </c>
      <c r="B22" s="10">
        <v>598</v>
      </c>
      <c r="C22" s="10">
        <v>31.4</v>
      </c>
    </row>
    <row r="23" spans="1:3" ht="22.8" x14ac:dyDescent="0.3">
      <c r="A23" s="10">
        <v>6.8</v>
      </c>
      <c r="B23" s="10">
        <v>591</v>
      </c>
      <c r="C23" s="10">
        <v>31.4</v>
      </c>
    </row>
    <row r="24" spans="1:3" ht="22.8" x14ac:dyDescent="0.3">
      <c r="A24" s="10">
        <v>6.8</v>
      </c>
      <c r="B24" s="10">
        <v>580</v>
      </c>
      <c r="C24" s="10">
        <v>31.4</v>
      </c>
    </row>
    <row r="25" spans="1:3" ht="22.8" x14ac:dyDescent="0.3">
      <c r="A25" s="10">
        <v>6.8</v>
      </c>
      <c r="B25" s="10">
        <v>579</v>
      </c>
      <c r="C25" s="10">
        <v>31.4</v>
      </c>
    </row>
    <row r="26" spans="1:3" ht="22.8" x14ac:dyDescent="0.3">
      <c r="A26" s="10">
        <v>6.8</v>
      </c>
      <c r="B26" s="10">
        <v>574</v>
      </c>
      <c r="C26" s="10">
        <v>31.4</v>
      </c>
    </row>
    <row r="27" spans="1:3" ht="22.8" x14ac:dyDescent="0.3">
      <c r="A27" s="10">
        <v>6.8</v>
      </c>
      <c r="B27" s="10">
        <v>566</v>
      </c>
      <c r="C27" s="10">
        <v>31.4</v>
      </c>
    </row>
    <row r="28" spans="1:3" ht="22.8" x14ac:dyDescent="0.3">
      <c r="A28" s="10">
        <v>6.8</v>
      </c>
      <c r="B28" s="10">
        <v>562</v>
      </c>
      <c r="C28" s="10">
        <v>31.4</v>
      </c>
    </row>
    <row r="29" spans="1:3" ht="22.8" x14ac:dyDescent="0.3">
      <c r="A29" s="10">
        <v>6.8</v>
      </c>
      <c r="B29" s="10">
        <v>573</v>
      </c>
      <c r="C29" s="10">
        <v>31.4</v>
      </c>
    </row>
    <row r="30" spans="1:3" ht="22.8" x14ac:dyDescent="0.3">
      <c r="A30" s="10">
        <v>6.8</v>
      </c>
      <c r="B30" s="10">
        <v>558</v>
      </c>
      <c r="C30" s="10">
        <v>31.4</v>
      </c>
    </row>
    <row r="31" spans="1:3" ht="22.8" x14ac:dyDescent="0.3">
      <c r="A31" s="10">
        <v>6.8</v>
      </c>
      <c r="B31" s="10">
        <v>554</v>
      </c>
      <c r="C31" s="10">
        <v>31.4</v>
      </c>
    </row>
    <row r="32" spans="1:3" ht="22.8" x14ac:dyDescent="0.3">
      <c r="A32" s="10">
        <v>6.8</v>
      </c>
      <c r="B32" s="10">
        <v>543</v>
      </c>
      <c r="C32" s="10">
        <v>31.4</v>
      </c>
    </row>
    <row r="33" spans="1:4" ht="22.8" x14ac:dyDescent="0.3">
      <c r="A33" s="10">
        <v>6.7</v>
      </c>
      <c r="B33" s="10">
        <v>538</v>
      </c>
      <c r="C33" s="10">
        <v>31.4</v>
      </c>
    </row>
    <row r="34" spans="1:4" ht="22.8" x14ac:dyDescent="0.3">
      <c r="A34" s="10">
        <v>6.8</v>
      </c>
      <c r="B34" s="10">
        <v>530</v>
      </c>
      <c r="C34" s="10">
        <v>31.4</v>
      </c>
    </row>
    <row r="35" spans="1:4" ht="23.4" thickBot="1" x14ac:dyDescent="0.35">
      <c r="A35" s="10">
        <v>6.8</v>
      </c>
      <c r="B35" s="10">
        <v>537</v>
      </c>
      <c r="C35" s="10">
        <v>31.4</v>
      </c>
    </row>
    <row r="36" spans="1:4" ht="23.4" thickBot="1" x14ac:dyDescent="0.35">
      <c r="A36" s="19">
        <f>AVERAGE(A6:A35)</f>
        <v>6.7900000000000027</v>
      </c>
      <c r="B36" s="19">
        <f>AVERAGE(B6:B35)</f>
        <v>613.9666666666667</v>
      </c>
      <c r="C36" s="19">
        <f>AVERAGE(C6:C35)</f>
        <v>31.399999999999984</v>
      </c>
      <c r="D36" s="20" t="s">
        <v>46</v>
      </c>
    </row>
    <row r="37" spans="1:4" ht="23.4" thickBot="1" x14ac:dyDescent="0.45">
      <c r="A37" s="17">
        <f>MAX(A6:A36)</f>
        <v>6.8</v>
      </c>
      <c r="B37" s="17">
        <f>MAX(B6:B36)</f>
        <v>801</v>
      </c>
      <c r="C37" s="17">
        <f>MAX(C13:C36)</f>
        <v>31.4</v>
      </c>
      <c r="D37" s="18" t="s">
        <v>47</v>
      </c>
    </row>
    <row r="38" spans="1:4" ht="23.4" thickBot="1" x14ac:dyDescent="0.45">
      <c r="A38" s="21">
        <f>MIN(A6:A37)</f>
        <v>6.7</v>
      </c>
      <c r="B38" s="21">
        <f>MIN(B6:B37)</f>
        <v>530</v>
      </c>
      <c r="C38" s="21">
        <f>MIN(C13:C37)</f>
        <v>31.399999999999984</v>
      </c>
      <c r="D38" s="2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8EDC-3661-4F56-AD92-4BF6709FC22D}">
  <dimension ref="A1:D38"/>
  <sheetViews>
    <sheetView zoomScale="34" workbookViewId="0">
      <selection activeCell="D48" sqref="D48"/>
    </sheetView>
  </sheetViews>
  <sheetFormatPr defaultRowHeight="14.4" x14ac:dyDescent="0.3"/>
  <cols>
    <col min="1" max="1" width="14.77734375" customWidth="1"/>
    <col min="2" max="2" width="20" customWidth="1"/>
    <col min="3" max="3" width="27.109375" customWidth="1"/>
    <col min="4" max="4" width="20.88671875" customWidth="1"/>
  </cols>
  <sheetData>
    <row r="1" spans="1:3" ht="23.4" thickBot="1" x14ac:dyDescent="0.35">
      <c r="A1" s="6" t="s">
        <v>33</v>
      </c>
      <c r="B1" s="6" t="s">
        <v>28</v>
      </c>
      <c r="C1" s="5" t="s">
        <v>4</v>
      </c>
    </row>
    <row r="2" spans="1:3" ht="23.4" thickBot="1" x14ac:dyDescent="0.35">
      <c r="A2" s="6" t="s">
        <v>32</v>
      </c>
      <c r="B2" s="6" t="s">
        <v>29</v>
      </c>
      <c r="C2" s="5" t="s">
        <v>27</v>
      </c>
    </row>
    <row r="3" spans="1:3" ht="23.4" thickBot="1" x14ac:dyDescent="0.35">
      <c r="A3" s="6" t="s">
        <v>31</v>
      </c>
      <c r="B3" s="6" t="s">
        <v>30</v>
      </c>
      <c r="C3" s="5" t="s">
        <v>27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2" t="s">
        <v>8</v>
      </c>
      <c r="C5" s="12" t="s">
        <v>9</v>
      </c>
    </row>
    <row r="6" spans="1:3" ht="22.8" x14ac:dyDescent="0.3">
      <c r="A6" s="10">
        <v>6.69</v>
      </c>
      <c r="B6" s="10">
        <v>658</v>
      </c>
      <c r="C6" s="10">
        <v>30.87</v>
      </c>
    </row>
    <row r="7" spans="1:3" ht="22.8" x14ac:dyDescent="0.3">
      <c r="A7" s="10">
        <v>6.7</v>
      </c>
      <c r="B7" s="10">
        <v>736</v>
      </c>
      <c r="C7" s="10">
        <v>30.87</v>
      </c>
    </row>
    <row r="8" spans="1:3" ht="22.8" x14ac:dyDescent="0.3">
      <c r="A8" s="10">
        <v>6.7</v>
      </c>
      <c r="B8" s="10">
        <v>774</v>
      </c>
      <c r="C8" s="10">
        <v>30.87</v>
      </c>
    </row>
    <row r="9" spans="1:3" ht="22.8" x14ac:dyDescent="0.3">
      <c r="A9" s="10">
        <v>6.68</v>
      </c>
      <c r="B9" s="10">
        <v>781</v>
      </c>
      <c r="C9" s="10">
        <v>30.87</v>
      </c>
    </row>
    <row r="10" spans="1:3" ht="22.8" x14ac:dyDescent="0.3">
      <c r="A10" s="10">
        <v>6.72</v>
      </c>
      <c r="B10" s="10">
        <v>773</v>
      </c>
      <c r="C10" s="10">
        <v>30.87</v>
      </c>
    </row>
    <row r="11" spans="1:3" ht="22.8" x14ac:dyDescent="0.3">
      <c r="A11" s="10">
        <v>6.68</v>
      </c>
      <c r="B11" s="10">
        <v>759</v>
      </c>
      <c r="C11" s="10">
        <v>30.87</v>
      </c>
    </row>
    <row r="12" spans="1:3" ht="22.8" x14ac:dyDescent="0.3">
      <c r="A12" s="10">
        <v>6.66</v>
      </c>
      <c r="B12" s="10">
        <v>747</v>
      </c>
      <c r="C12" s="10">
        <v>30.87</v>
      </c>
    </row>
    <row r="13" spans="1:3" ht="22.8" x14ac:dyDescent="0.3">
      <c r="A13" s="10">
        <v>6.66</v>
      </c>
      <c r="B13" s="10">
        <v>736</v>
      </c>
      <c r="C13" s="10">
        <v>30.87</v>
      </c>
    </row>
    <row r="14" spans="1:3" ht="22.8" x14ac:dyDescent="0.3">
      <c r="A14" s="10">
        <v>6.68</v>
      </c>
      <c r="B14" s="10">
        <v>719</v>
      </c>
      <c r="C14" s="10">
        <v>30.87</v>
      </c>
    </row>
    <row r="15" spans="1:3" ht="22.8" x14ac:dyDescent="0.3">
      <c r="A15" s="10">
        <v>6.66</v>
      </c>
      <c r="B15" s="10">
        <v>708</v>
      </c>
      <c r="C15" s="10">
        <v>30.87</v>
      </c>
    </row>
    <row r="16" spans="1:3" ht="22.8" x14ac:dyDescent="0.3">
      <c r="A16" s="10">
        <v>6.66</v>
      </c>
      <c r="B16" s="10">
        <v>691</v>
      </c>
      <c r="C16" s="10">
        <v>30.87</v>
      </c>
    </row>
    <row r="17" spans="1:3" ht="22.8" x14ac:dyDescent="0.3">
      <c r="A17" s="10">
        <v>6.66</v>
      </c>
      <c r="B17" s="10">
        <v>686</v>
      </c>
      <c r="C17" s="10">
        <v>30.87</v>
      </c>
    </row>
    <row r="18" spans="1:3" ht="22.8" x14ac:dyDescent="0.3">
      <c r="A18" s="10">
        <v>6.7</v>
      </c>
      <c r="B18" s="10">
        <v>671</v>
      </c>
      <c r="C18" s="10">
        <v>30.87</v>
      </c>
    </row>
    <row r="19" spans="1:3" ht="22.8" x14ac:dyDescent="0.3">
      <c r="A19" s="10">
        <v>6.68</v>
      </c>
      <c r="B19" s="10">
        <v>658</v>
      </c>
      <c r="C19" s="10">
        <v>30.87</v>
      </c>
    </row>
    <row r="20" spans="1:3" ht="22.8" x14ac:dyDescent="0.3">
      <c r="A20" s="10">
        <v>6.68</v>
      </c>
      <c r="B20" s="10">
        <v>655</v>
      </c>
      <c r="C20" s="10">
        <v>30.87</v>
      </c>
    </row>
    <row r="21" spans="1:3" ht="22.8" x14ac:dyDescent="0.3">
      <c r="A21" s="10">
        <v>6.66</v>
      </c>
      <c r="B21" s="10">
        <v>648</v>
      </c>
      <c r="C21" s="10">
        <v>30.87</v>
      </c>
    </row>
    <row r="22" spans="1:3" ht="22.8" x14ac:dyDescent="0.3">
      <c r="A22" s="10">
        <v>6.67</v>
      </c>
      <c r="B22" s="10">
        <v>647</v>
      </c>
      <c r="C22" s="10">
        <v>30.87</v>
      </c>
    </row>
    <row r="23" spans="1:3" ht="22.8" x14ac:dyDescent="0.3">
      <c r="A23" s="10">
        <v>6.66</v>
      </c>
      <c r="B23" s="10">
        <v>639</v>
      </c>
      <c r="C23" s="10">
        <v>30.87</v>
      </c>
    </row>
    <row r="24" spans="1:3" ht="22.8" x14ac:dyDescent="0.3">
      <c r="A24" s="10">
        <v>6.66</v>
      </c>
      <c r="B24" s="10">
        <v>642</v>
      </c>
      <c r="C24" s="10">
        <v>30.87</v>
      </c>
    </row>
    <row r="25" spans="1:3" ht="22.8" x14ac:dyDescent="0.3">
      <c r="A25" s="10">
        <v>6.68</v>
      </c>
      <c r="B25" s="10">
        <v>634</v>
      </c>
      <c r="C25" s="10">
        <v>30.87</v>
      </c>
    </row>
    <row r="26" spans="1:3" ht="22.8" x14ac:dyDescent="0.3">
      <c r="A26" s="10">
        <v>6.68</v>
      </c>
      <c r="B26" s="10">
        <v>629</v>
      </c>
      <c r="C26" s="10">
        <v>30.87</v>
      </c>
    </row>
    <row r="27" spans="1:3" ht="22.8" x14ac:dyDescent="0.3">
      <c r="A27" s="10">
        <v>6.68</v>
      </c>
      <c r="B27" s="10">
        <v>627</v>
      </c>
      <c r="C27" s="10">
        <v>30.87</v>
      </c>
    </row>
    <row r="28" spans="1:3" ht="22.8" x14ac:dyDescent="0.3">
      <c r="A28" s="10">
        <v>6.66</v>
      </c>
      <c r="B28" s="10">
        <v>625</v>
      </c>
      <c r="C28" s="10">
        <v>30.87</v>
      </c>
    </row>
    <row r="29" spans="1:3" ht="22.8" x14ac:dyDescent="0.3">
      <c r="A29" s="10">
        <v>6.68</v>
      </c>
      <c r="B29" s="10">
        <v>624</v>
      </c>
      <c r="C29" s="10">
        <v>30.87</v>
      </c>
    </row>
    <row r="30" spans="1:3" ht="22.8" x14ac:dyDescent="0.3">
      <c r="A30" s="10">
        <v>6.71</v>
      </c>
      <c r="B30" s="10">
        <v>615</v>
      </c>
      <c r="C30" s="10">
        <v>30.87</v>
      </c>
    </row>
    <row r="31" spans="1:3" ht="22.8" x14ac:dyDescent="0.3">
      <c r="A31" s="10">
        <v>6.66</v>
      </c>
      <c r="B31" s="10">
        <v>622</v>
      </c>
      <c r="C31" s="10">
        <v>30.87</v>
      </c>
    </row>
    <row r="32" spans="1:3" ht="22.8" x14ac:dyDescent="0.3">
      <c r="A32" s="10">
        <v>6.67</v>
      </c>
      <c r="B32" s="10">
        <v>619</v>
      </c>
      <c r="C32" s="10">
        <v>30.87</v>
      </c>
    </row>
    <row r="33" spans="1:4" ht="22.8" x14ac:dyDescent="0.3">
      <c r="A33" s="10">
        <v>6.66</v>
      </c>
      <c r="B33" s="10">
        <v>620</v>
      </c>
      <c r="C33" s="10">
        <v>30.87</v>
      </c>
    </row>
    <row r="34" spans="1:4" ht="22.8" x14ac:dyDescent="0.3">
      <c r="A34" s="10">
        <v>6.67</v>
      </c>
      <c r="B34" s="10">
        <v>617</v>
      </c>
      <c r="C34" s="10">
        <v>30.87</v>
      </c>
    </row>
    <row r="35" spans="1:4" ht="23.4" thickBot="1" x14ac:dyDescent="0.35">
      <c r="A35" s="10">
        <v>6.75</v>
      </c>
      <c r="B35" s="10">
        <v>609</v>
      </c>
      <c r="C35" s="10">
        <v>30.87</v>
      </c>
    </row>
    <row r="36" spans="1:4" ht="23.4" thickBot="1" x14ac:dyDescent="0.35">
      <c r="A36" s="19">
        <f>AVERAGE(A6:A35)</f>
        <v>6.6786666666666665</v>
      </c>
      <c r="B36" s="19">
        <f>AVERAGE(B6:B35)</f>
        <v>672.3</v>
      </c>
      <c r="C36" s="19">
        <f>AVERAGE(C6:C35)</f>
        <v>30.87</v>
      </c>
      <c r="D36" s="20" t="s">
        <v>46</v>
      </c>
    </row>
    <row r="37" spans="1:4" ht="23.4" thickBot="1" x14ac:dyDescent="0.45">
      <c r="A37" s="17">
        <f>MAX(A6:A36)</f>
        <v>6.75</v>
      </c>
      <c r="B37" s="17">
        <f>MAX(B6:B36)</f>
        <v>781</v>
      </c>
      <c r="C37" s="17">
        <f>MAX(C13:C36)</f>
        <v>30.87</v>
      </c>
      <c r="D37" s="18" t="s">
        <v>47</v>
      </c>
    </row>
    <row r="38" spans="1:4" ht="23.4" thickBot="1" x14ac:dyDescent="0.45">
      <c r="A38" s="21">
        <f>MIN(A6:A37)</f>
        <v>6.66</v>
      </c>
      <c r="B38" s="21">
        <f>MIN(B6:B37)</f>
        <v>609</v>
      </c>
      <c r="C38" s="21">
        <f>MIN(C13:C37)</f>
        <v>30.87</v>
      </c>
      <c r="D38" s="2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34ED-3358-45B9-BF39-E27EA0A99450}">
  <dimension ref="A1:D38"/>
  <sheetViews>
    <sheetView zoomScale="35" workbookViewId="0">
      <selection activeCell="AL63" sqref="AL63"/>
    </sheetView>
  </sheetViews>
  <sheetFormatPr defaultRowHeight="14.4" x14ac:dyDescent="0.3"/>
  <cols>
    <col min="1" max="1" width="13.77734375" customWidth="1"/>
    <col min="2" max="2" width="20.77734375" customWidth="1"/>
    <col min="3" max="3" width="26.77734375" customWidth="1"/>
    <col min="4" max="4" width="21.109375" customWidth="1"/>
  </cols>
  <sheetData>
    <row r="1" spans="1:3" ht="23.4" thickBot="1" x14ac:dyDescent="0.35">
      <c r="A1" s="6" t="s">
        <v>34</v>
      </c>
      <c r="B1" s="6" t="s">
        <v>38</v>
      </c>
      <c r="C1" s="5" t="s">
        <v>4</v>
      </c>
    </row>
    <row r="2" spans="1:3" ht="23.4" thickBot="1" x14ac:dyDescent="0.35">
      <c r="A2" s="6" t="s">
        <v>35</v>
      </c>
      <c r="B2" s="6" t="s">
        <v>39</v>
      </c>
      <c r="C2" s="5" t="s">
        <v>37</v>
      </c>
    </row>
    <row r="3" spans="1:3" ht="23.4" thickBot="1" x14ac:dyDescent="0.35">
      <c r="A3" s="6" t="s">
        <v>36</v>
      </c>
      <c r="B3" s="6" t="s">
        <v>40</v>
      </c>
      <c r="C3" s="5" t="s">
        <v>37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2" t="s">
        <v>8</v>
      </c>
      <c r="C5" s="12" t="s">
        <v>9</v>
      </c>
    </row>
    <row r="6" spans="1:3" ht="22.8" x14ac:dyDescent="0.3">
      <c r="A6" s="10">
        <v>6.96</v>
      </c>
      <c r="B6" s="10">
        <v>947</v>
      </c>
      <c r="C6" s="10">
        <v>27.75</v>
      </c>
    </row>
    <row r="7" spans="1:3" ht="22.8" x14ac:dyDescent="0.3">
      <c r="A7" s="10">
        <v>6.98</v>
      </c>
      <c r="B7" s="10">
        <v>1069</v>
      </c>
      <c r="C7" s="10">
        <v>27.75</v>
      </c>
    </row>
    <row r="8" spans="1:3" ht="22.8" x14ac:dyDescent="0.3">
      <c r="A8" s="10">
        <v>6.97</v>
      </c>
      <c r="B8" s="10">
        <v>1135</v>
      </c>
      <c r="C8" s="10">
        <v>27.75</v>
      </c>
    </row>
    <row r="9" spans="1:3" ht="22.8" x14ac:dyDescent="0.3">
      <c r="A9" s="10">
        <v>6.97</v>
      </c>
      <c r="B9" s="10">
        <v>1168</v>
      </c>
      <c r="C9" s="10">
        <v>27.75</v>
      </c>
    </row>
    <row r="10" spans="1:3" ht="22.8" x14ac:dyDescent="0.3">
      <c r="A10" s="10">
        <v>6.97</v>
      </c>
      <c r="B10" s="10">
        <v>1168</v>
      </c>
      <c r="C10" s="10">
        <v>27.75</v>
      </c>
    </row>
    <row r="11" spans="1:3" ht="22.8" x14ac:dyDescent="0.3">
      <c r="A11" s="10">
        <v>6.96</v>
      </c>
      <c r="B11" s="10">
        <v>1146</v>
      </c>
      <c r="C11" s="10">
        <v>27.75</v>
      </c>
    </row>
    <row r="12" spans="1:3" ht="22.8" x14ac:dyDescent="0.3">
      <c r="A12" s="10">
        <v>6.99</v>
      </c>
      <c r="B12" s="10">
        <v>1106</v>
      </c>
      <c r="C12" s="10">
        <v>27.75</v>
      </c>
    </row>
    <row r="13" spans="1:3" ht="22.8" x14ac:dyDescent="0.3">
      <c r="A13" s="10">
        <v>6.97</v>
      </c>
      <c r="B13" s="10">
        <v>1059</v>
      </c>
      <c r="C13" s="10">
        <v>27.75</v>
      </c>
    </row>
    <row r="14" spans="1:3" ht="22.8" x14ac:dyDescent="0.3">
      <c r="A14" s="10">
        <v>6.98</v>
      </c>
      <c r="B14" s="10">
        <v>1011</v>
      </c>
      <c r="C14" s="10">
        <v>27.75</v>
      </c>
    </row>
    <row r="15" spans="1:3" ht="22.8" x14ac:dyDescent="0.3">
      <c r="A15" s="10">
        <v>6.96</v>
      </c>
      <c r="B15" s="10">
        <v>963</v>
      </c>
      <c r="C15" s="10">
        <v>27.81</v>
      </c>
    </row>
    <row r="16" spans="1:3" ht="22.8" x14ac:dyDescent="0.3">
      <c r="A16" s="10">
        <v>6.97</v>
      </c>
      <c r="B16" s="10">
        <v>937</v>
      </c>
      <c r="C16" s="10">
        <v>27.75</v>
      </c>
    </row>
    <row r="17" spans="1:3" ht="22.8" x14ac:dyDescent="0.3">
      <c r="A17" s="10">
        <v>6.98</v>
      </c>
      <c r="B17" s="10">
        <v>906</v>
      </c>
      <c r="C17" s="10">
        <v>27.75</v>
      </c>
    </row>
    <row r="18" spans="1:3" ht="22.8" x14ac:dyDescent="0.3">
      <c r="A18" s="10">
        <v>6.99</v>
      </c>
      <c r="B18" s="10">
        <v>886</v>
      </c>
      <c r="C18" s="10">
        <v>27.75</v>
      </c>
    </row>
    <row r="19" spans="1:3" ht="22.8" x14ac:dyDescent="0.3">
      <c r="A19" s="10">
        <v>6.97</v>
      </c>
      <c r="B19" s="10">
        <v>873</v>
      </c>
      <c r="C19" s="10">
        <v>27.75</v>
      </c>
    </row>
    <row r="20" spans="1:3" ht="22.8" x14ac:dyDescent="0.3">
      <c r="A20" s="10">
        <v>6.96</v>
      </c>
      <c r="B20" s="10">
        <v>870</v>
      </c>
      <c r="C20" s="10">
        <v>27.75</v>
      </c>
    </row>
    <row r="21" spans="1:3" ht="22.8" x14ac:dyDescent="0.3">
      <c r="A21" s="10">
        <v>6.96</v>
      </c>
      <c r="B21" s="10">
        <v>846</v>
      </c>
      <c r="C21" s="10">
        <v>27.75</v>
      </c>
    </row>
    <row r="22" spans="1:3" ht="22.8" x14ac:dyDescent="0.3">
      <c r="A22" s="10">
        <v>6.97</v>
      </c>
      <c r="B22" s="10">
        <v>832</v>
      </c>
      <c r="C22" s="10">
        <v>27.81</v>
      </c>
    </row>
    <row r="23" spans="1:3" ht="22.8" x14ac:dyDescent="0.3">
      <c r="A23" s="10">
        <v>6.98</v>
      </c>
      <c r="B23" s="10">
        <v>822</v>
      </c>
      <c r="C23" s="10">
        <v>27.81</v>
      </c>
    </row>
    <row r="24" spans="1:3" ht="22.8" x14ac:dyDescent="0.3">
      <c r="A24" s="10">
        <v>6.95</v>
      </c>
      <c r="B24" s="10">
        <v>821</v>
      </c>
      <c r="C24" s="10">
        <v>27.75</v>
      </c>
    </row>
    <row r="25" spans="1:3" ht="22.8" x14ac:dyDescent="0.3">
      <c r="A25" s="10">
        <v>6.96</v>
      </c>
      <c r="B25" s="10">
        <v>815</v>
      </c>
      <c r="C25" s="10">
        <v>27.75</v>
      </c>
    </row>
    <row r="26" spans="1:3" ht="22.8" x14ac:dyDescent="0.3">
      <c r="A26" s="10">
        <v>6.96</v>
      </c>
      <c r="B26" s="10">
        <v>811</v>
      </c>
      <c r="C26" s="10">
        <v>27.75</v>
      </c>
    </row>
    <row r="27" spans="1:3" ht="22.8" x14ac:dyDescent="0.3">
      <c r="A27" s="10">
        <v>6.93</v>
      </c>
      <c r="B27" s="10">
        <v>805</v>
      </c>
      <c r="C27" s="10">
        <v>27.81</v>
      </c>
    </row>
    <row r="28" spans="1:3" ht="22.8" x14ac:dyDescent="0.3">
      <c r="A28" s="10">
        <v>6.96</v>
      </c>
      <c r="B28" s="10">
        <v>806</v>
      </c>
      <c r="C28" s="10">
        <v>27.81</v>
      </c>
    </row>
    <row r="29" spans="1:3" ht="22.8" x14ac:dyDescent="0.3">
      <c r="A29" s="10">
        <v>6.98</v>
      </c>
      <c r="B29" s="10">
        <v>803</v>
      </c>
      <c r="C29" s="10">
        <v>27.81</v>
      </c>
    </row>
    <row r="30" spans="1:3" ht="22.8" x14ac:dyDescent="0.3">
      <c r="A30" s="10">
        <v>6.96</v>
      </c>
      <c r="B30" s="10">
        <v>799</v>
      </c>
      <c r="C30" s="10">
        <v>27.75</v>
      </c>
    </row>
    <row r="31" spans="1:3" ht="22.8" x14ac:dyDescent="0.3">
      <c r="A31" s="10">
        <v>6.98</v>
      </c>
      <c r="B31" s="10">
        <v>794</v>
      </c>
      <c r="C31" s="10">
        <v>27.75</v>
      </c>
    </row>
    <row r="32" spans="1:3" ht="22.8" x14ac:dyDescent="0.3">
      <c r="A32" s="10">
        <v>6.95</v>
      </c>
      <c r="B32" s="10">
        <v>791</v>
      </c>
      <c r="C32" s="10">
        <v>27.81</v>
      </c>
    </row>
    <row r="33" spans="1:4" ht="22.8" x14ac:dyDescent="0.3">
      <c r="A33" s="10">
        <v>6.95</v>
      </c>
      <c r="B33" s="10">
        <v>789</v>
      </c>
      <c r="C33" s="10">
        <v>27.75</v>
      </c>
    </row>
    <row r="34" spans="1:4" ht="22.8" x14ac:dyDescent="0.3">
      <c r="A34" s="10">
        <v>6.98</v>
      </c>
      <c r="B34" s="10">
        <v>794</v>
      </c>
      <c r="C34" s="10">
        <v>27.81</v>
      </c>
    </row>
    <row r="35" spans="1:4" ht="23.4" thickBot="1" x14ac:dyDescent="0.35">
      <c r="A35" s="10">
        <v>6.96</v>
      </c>
      <c r="B35" s="10">
        <v>782</v>
      </c>
      <c r="C35" s="10">
        <v>27.81</v>
      </c>
    </row>
    <row r="36" spans="1:4" ht="23.4" thickBot="1" x14ac:dyDescent="0.35">
      <c r="A36" s="19">
        <f>AVERAGE(A6:A35)</f>
        <v>6.9669999999999987</v>
      </c>
      <c r="B36" s="19">
        <f>AVERAGE(B6:B35)</f>
        <v>911.8</v>
      </c>
      <c r="C36" s="19">
        <f>AVERAGE(C6:C35)</f>
        <v>27.76799999999999</v>
      </c>
      <c r="D36" s="20" t="s">
        <v>46</v>
      </c>
    </row>
    <row r="37" spans="1:4" ht="23.4" thickBot="1" x14ac:dyDescent="0.45">
      <c r="A37" s="17">
        <f>MAX(A6:A36)</f>
        <v>6.99</v>
      </c>
      <c r="B37" s="17">
        <f>MAX(B6:B36)</f>
        <v>1168</v>
      </c>
      <c r="C37" s="17">
        <f>MAX(C13:C36)</f>
        <v>27.81</v>
      </c>
      <c r="D37" s="18" t="s">
        <v>47</v>
      </c>
    </row>
    <row r="38" spans="1:4" ht="23.4" thickBot="1" x14ac:dyDescent="0.45">
      <c r="A38" s="21">
        <f>MIN(A6:A37)</f>
        <v>6.93</v>
      </c>
      <c r="B38" s="21">
        <f>MIN(B6:B37)</f>
        <v>782</v>
      </c>
      <c r="C38" s="21">
        <f>MIN(C13:C37)</f>
        <v>27.75</v>
      </c>
      <c r="D38" s="2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B901-5B67-43C7-816C-EA68143B5D7F}">
  <dimension ref="A1:D38"/>
  <sheetViews>
    <sheetView topLeftCell="E1" zoomScale="25" workbookViewId="0">
      <selection activeCell="O68" sqref="O68"/>
    </sheetView>
  </sheetViews>
  <sheetFormatPr defaultRowHeight="14.4" x14ac:dyDescent="0.3"/>
  <cols>
    <col min="1" max="1" width="18.109375" customWidth="1"/>
    <col min="2" max="2" width="23.77734375" customWidth="1"/>
    <col min="3" max="3" width="27.5546875" customWidth="1"/>
    <col min="4" max="4" width="31.6640625" customWidth="1"/>
  </cols>
  <sheetData>
    <row r="1" spans="1:3" ht="23.4" thickBot="1" x14ac:dyDescent="0.35">
      <c r="A1" s="6" t="s">
        <v>41</v>
      </c>
      <c r="B1" s="6" t="s">
        <v>42</v>
      </c>
      <c r="C1" s="5" t="s">
        <v>4</v>
      </c>
    </row>
    <row r="2" spans="1:3" ht="23.4" thickBot="1" x14ac:dyDescent="0.35">
      <c r="A2" s="6" t="s">
        <v>36</v>
      </c>
      <c r="B2" s="6" t="s">
        <v>43</v>
      </c>
      <c r="C2" s="5" t="s">
        <v>45</v>
      </c>
    </row>
    <row r="3" spans="1:3" ht="23.4" thickBot="1" x14ac:dyDescent="0.35">
      <c r="A3" s="6" t="s">
        <v>35</v>
      </c>
      <c r="B3" s="6" t="s">
        <v>44</v>
      </c>
      <c r="C3" s="5" t="s">
        <v>45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2" t="s">
        <v>8</v>
      </c>
      <c r="C5" s="12" t="s">
        <v>9</v>
      </c>
    </row>
    <row r="6" spans="1:3" ht="22.8" x14ac:dyDescent="0.3">
      <c r="A6" s="10">
        <v>6.98</v>
      </c>
      <c r="B6" s="10">
        <v>1201</v>
      </c>
      <c r="C6" s="10">
        <v>31.37</v>
      </c>
    </row>
    <row r="7" spans="1:3" ht="22.8" x14ac:dyDescent="0.3">
      <c r="A7" s="10">
        <v>6.96</v>
      </c>
      <c r="B7" s="10">
        <v>1311</v>
      </c>
      <c r="C7" s="10"/>
    </row>
    <row r="8" spans="1:3" ht="22.8" x14ac:dyDescent="0.3">
      <c r="A8" s="10">
        <v>6.99</v>
      </c>
      <c r="B8" s="10">
        <v>1370</v>
      </c>
      <c r="C8" s="10">
        <v>31.37</v>
      </c>
    </row>
    <row r="9" spans="1:3" ht="22.8" x14ac:dyDescent="0.3">
      <c r="A9" s="10">
        <v>6.99</v>
      </c>
      <c r="B9" s="10">
        <v>1386</v>
      </c>
      <c r="C9" s="10">
        <v>31.37</v>
      </c>
    </row>
    <row r="10" spans="1:3" ht="22.8" x14ac:dyDescent="0.3">
      <c r="A10" s="10">
        <v>6.97</v>
      </c>
      <c r="B10" s="10">
        <v>1363</v>
      </c>
      <c r="C10" s="10">
        <v>31.37</v>
      </c>
    </row>
    <row r="11" spans="1:3" ht="22.8" x14ac:dyDescent="0.3">
      <c r="A11" s="10">
        <v>7.02</v>
      </c>
      <c r="B11" s="10">
        <v>1314</v>
      </c>
      <c r="C11" s="10">
        <v>31.37</v>
      </c>
    </row>
    <row r="12" spans="1:3" ht="22.8" x14ac:dyDescent="0.3">
      <c r="A12" s="10">
        <v>6.98</v>
      </c>
      <c r="B12" s="10">
        <v>1255</v>
      </c>
      <c r="C12" s="10"/>
    </row>
    <row r="13" spans="1:3" ht="22.8" x14ac:dyDescent="0.3">
      <c r="A13" s="10">
        <v>6.98</v>
      </c>
      <c r="B13" s="10">
        <v>1191</v>
      </c>
      <c r="C13" s="10">
        <v>31.37</v>
      </c>
    </row>
    <row r="14" spans="1:3" ht="22.8" x14ac:dyDescent="0.3">
      <c r="A14" s="10">
        <v>7</v>
      </c>
      <c r="B14" s="10">
        <v>1114</v>
      </c>
      <c r="C14" s="10">
        <v>31.37</v>
      </c>
    </row>
    <row r="15" spans="1:3" ht="22.8" x14ac:dyDescent="0.3">
      <c r="A15" s="10">
        <v>6.98</v>
      </c>
      <c r="B15" s="10">
        <v>1077</v>
      </c>
      <c r="C15" s="10">
        <v>31.37</v>
      </c>
    </row>
    <row r="16" spans="1:3" ht="22.8" x14ac:dyDescent="0.3">
      <c r="A16" s="10">
        <v>6.96</v>
      </c>
      <c r="B16" s="10">
        <v>1023</v>
      </c>
      <c r="C16" s="10">
        <v>31.37</v>
      </c>
    </row>
    <row r="17" spans="1:3" ht="22.8" x14ac:dyDescent="0.3">
      <c r="A17" s="10">
        <v>6.99</v>
      </c>
      <c r="B17" s="10">
        <v>995</v>
      </c>
      <c r="C17" s="10">
        <v>31.37</v>
      </c>
    </row>
    <row r="18" spans="1:3" ht="22.8" x14ac:dyDescent="0.3">
      <c r="A18" s="10">
        <v>7</v>
      </c>
      <c r="B18" s="10">
        <v>967</v>
      </c>
      <c r="C18" s="10">
        <v>31.37</v>
      </c>
    </row>
    <row r="19" spans="1:3" ht="22.8" x14ac:dyDescent="0.3">
      <c r="A19" s="10">
        <v>6.97</v>
      </c>
      <c r="B19" s="10">
        <v>950</v>
      </c>
      <c r="C19" s="10">
        <v>31.37</v>
      </c>
    </row>
    <row r="20" spans="1:3" ht="22.8" x14ac:dyDescent="0.3">
      <c r="A20" s="10">
        <v>7</v>
      </c>
      <c r="B20" s="10">
        <v>939</v>
      </c>
      <c r="C20" s="10">
        <v>31.37</v>
      </c>
    </row>
    <row r="21" spans="1:3" ht="22.8" x14ac:dyDescent="0.3">
      <c r="A21" s="10">
        <v>6.97</v>
      </c>
      <c r="B21" s="10">
        <v>937</v>
      </c>
      <c r="C21" s="10">
        <v>31.37</v>
      </c>
    </row>
    <row r="22" spans="1:3" ht="22.8" x14ac:dyDescent="0.3">
      <c r="A22" s="10">
        <v>6.96</v>
      </c>
      <c r="B22" s="10">
        <v>899</v>
      </c>
      <c r="C22" s="10">
        <v>31.37</v>
      </c>
    </row>
    <row r="23" spans="1:3" ht="22.8" x14ac:dyDescent="0.3">
      <c r="A23" s="10">
        <v>6.98</v>
      </c>
      <c r="B23" s="10">
        <v>898</v>
      </c>
      <c r="C23" s="10">
        <v>31.37</v>
      </c>
    </row>
    <row r="24" spans="1:3" ht="22.8" x14ac:dyDescent="0.3">
      <c r="A24" s="10">
        <v>6.98</v>
      </c>
      <c r="B24" s="10">
        <v>890</v>
      </c>
      <c r="C24" s="10">
        <v>31.37</v>
      </c>
    </row>
    <row r="25" spans="1:3" ht="22.8" x14ac:dyDescent="0.3">
      <c r="A25" s="10">
        <v>6.98</v>
      </c>
      <c r="B25" s="10">
        <v>881</v>
      </c>
      <c r="C25" s="10">
        <v>31.37</v>
      </c>
    </row>
    <row r="26" spans="1:3" ht="22.8" x14ac:dyDescent="0.3">
      <c r="A26" s="10">
        <v>6.98</v>
      </c>
      <c r="B26" s="10">
        <v>876</v>
      </c>
      <c r="C26" s="10">
        <v>31.37</v>
      </c>
    </row>
    <row r="27" spans="1:3" ht="22.8" x14ac:dyDescent="0.3">
      <c r="A27" s="10">
        <v>6.97</v>
      </c>
      <c r="B27" s="10">
        <v>870</v>
      </c>
      <c r="C27" s="10">
        <v>31.37</v>
      </c>
    </row>
    <row r="28" spans="1:3" ht="22.8" x14ac:dyDescent="0.3">
      <c r="A28" s="10">
        <v>6.98</v>
      </c>
      <c r="B28" s="10">
        <v>861</v>
      </c>
      <c r="C28" s="10">
        <v>31.37</v>
      </c>
    </row>
    <row r="29" spans="1:3" ht="22.8" x14ac:dyDescent="0.3">
      <c r="A29" s="10">
        <v>6.97</v>
      </c>
      <c r="B29" s="10">
        <v>860</v>
      </c>
      <c r="C29" s="10">
        <v>31.37</v>
      </c>
    </row>
    <row r="30" spans="1:3" ht="22.8" x14ac:dyDescent="0.3">
      <c r="A30" s="10">
        <v>6.97</v>
      </c>
      <c r="B30" s="10">
        <v>853</v>
      </c>
      <c r="C30" s="10">
        <v>31.37</v>
      </c>
    </row>
    <row r="31" spans="1:3" ht="22.8" x14ac:dyDescent="0.3">
      <c r="A31" s="10">
        <v>6.96</v>
      </c>
      <c r="B31" s="10">
        <v>845</v>
      </c>
      <c r="C31" s="10">
        <v>31.37</v>
      </c>
    </row>
    <row r="32" spans="1:3" ht="22.8" x14ac:dyDescent="0.3">
      <c r="A32" s="10">
        <v>6.99</v>
      </c>
      <c r="B32" s="10">
        <v>844</v>
      </c>
      <c r="C32" s="10">
        <v>31.37</v>
      </c>
    </row>
    <row r="33" spans="1:4" ht="22.8" x14ac:dyDescent="0.3">
      <c r="A33" s="10">
        <v>6.93</v>
      </c>
      <c r="B33" s="10">
        <v>835</v>
      </c>
      <c r="C33" s="10">
        <v>31.37</v>
      </c>
    </row>
    <row r="34" spans="1:4" ht="22.8" x14ac:dyDescent="0.3">
      <c r="A34" s="10">
        <v>6.95</v>
      </c>
      <c r="B34" s="10">
        <v>827</v>
      </c>
      <c r="C34" s="10">
        <v>31.37</v>
      </c>
    </row>
    <row r="35" spans="1:4" ht="23.4" thickBot="1" x14ac:dyDescent="0.35">
      <c r="A35" s="10">
        <v>6.99</v>
      </c>
      <c r="B35" s="10">
        <v>817</v>
      </c>
      <c r="C35" s="10">
        <v>31.37</v>
      </c>
    </row>
    <row r="36" spans="1:4" ht="23.4" thickBot="1" x14ac:dyDescent="0.35">
      <c r="A36" s="19">
        <f>AVERAGE(A6:A35)</f>
        <v>6.977666666666666</v>
      </c>
      <c r="B36" s="19">
        <f>AVERAGE(B6:B35)</f>
        <v>1014.9666666666667</v>
      </c>
      <c r="C36" s="19">
        <f>AVERAGE(C6:C35)</f>
        <v>31.37</v>
      </c>
      <c r="D36" s="20" t="s">
        <v>46</v>
      </c>
    </row>
    <row r="37" spans="1:4" ht="23.4" thickBot="1" x14ac:dyDescent="0.45">
      <c r="A37" s="17">
        <f>MAX(A6:A36)</f>
        <v>7.02</v>
      </c>
      <c r="B37" s="17">
        <f>MAX(B6:B36)</f>
        <v>1386</v>
      </c>
      <c r="C37" s="17">
        <f>MAX(C13:C36)</f>
        <v>31.37</v>
      </c>
      <c r="D37" s="18" t="s">
        <v>47</v>
      </c>
    </row>
    <row r="38" spans="1:4" ht="23.4" thickBot="1" x14ac:dyDescent="0.45">
      <c r="A38" s="21">
        <f>MIN(A6:A37)</f>
        <v>6.93</v>
      </c>
      <c r="B38" s="21">
        <f>MIN(B6:B37)</f>
        <v>817</v>
      </c>
      <c r="C38" s="21">
        <f>MIN(C13:C37)</f>
        <v>31.37</v>
      </c>
      <c r="D38" s="22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F1B8-62CB-4DF9-8296-D060B688B95D}">
  <dimension ref="A1:D38"/>
  <sheetViews>
    <sheetView zoomScale="44" workbookViewId="0">
      <selection activeCell="K13" sqref="K13"/>
    </sheetView>
  </sheetViews>
  <sheetFormatPr defaultRowHeight="14.4" x14ac:dyDescent="0.3"/>
  <cols>
    <col min="1" max="1" width="15.88671875" customWidth="1"/>
    <col min="2" max="2" width="22" customWidth="1"/>
    <col min="3" max="3" width="26.6640625" customWidth="1"/>
    <col min="4" max="4" width="21" customWidth="1"/>
  </cols>
  <sheetData>
    <row r="1" spans="1:3" ht="23.4" thickBot="1" x14ac:dyDescent="0.35">
      <c r="A1" s="6" t="s">
        <v>49</v>
      </c>
      <c r="B1" s="6" t="s">
        <v>51</v>
      </c>
      <c r="C1" s="5" t="s">
        <v>4</v>
      </c>
    </row>
    <row r="2" spans="1:3" ht="23.4" thickBot="1" x14ac:dyDescent="0.35">
      <c r="A2" s="6" t="s">
        <v>50</v>
      </c>
      <c r="B2" s="6" t="s">
        <v>52</v>
      </c>
      <c r="C2" s="5" t="s">
        <v>54</v>
      </c>
    </row>
    <row r="3" spans="1:3" ht="23.4" thickBot="1" x14ac:dyDescent="0.35">
      <c r="A3" s="6" t="s">
        <v>49</v>
      </c>
      <c r="B3" s="6" t="s">
        <v>53</v>
      </c>
      <c r="C3" s="5" t="s">
        <v>54</v>
      </c>
    </row>
    <row r="4" spans="1:3" ht="23.4" thickBot="1" x14ac:dyDescent="0.35">
      <c r="A4" s="2"/>
      <c r="B4" s="2"/>
      <c r="C4" s="2"/>
    </row>
    <row r="5" spans="1:3" ht="23.4" thickBot="1" x14ac:dyDescent="0.35">
      <c r="A5" s="11" t="s">
        <v>7</v>
      </c>
      <c r="B5" s="12" t="s">
        <v>8</v>
      </c>
      <c r="C5" s="12" t="s">
        <v>9</v>
      </c>
    </row>
    <row r="6" spans="1:3" ht="22.8" x14ac:dyDescent="0.3">
      <c r="A6" s="10">
        <v>7.21</v>
      </c>
      <c r="B6" s="10">
        <v>1422</v>
      </c>
      <c r="C6" s="10">
        <v>28.44</v>
      </c>
    </row>
    <row r="7" spans="1:3" ht="22.8" x14ac:dyDescent="0.3">
      <c r="A7" s="10">
        <v>7.23</v>
      </c>
      <c r="B7" s="10">
        <v>1513</v>
      </c>
      <c r="C7" s="10">
        <v>28.44</v>
      </c>
    </row>
    <row r="8" spans="1:3" ht="22.8" x14ac:dyDescent="0.3">
      <c r="A8" s="10">
        <v>7.21</v>
      </c>
      <c r="B8" s="10">
        <v>1564</v>
      </c>
      <c r="C8" s="10">
        <v>28.44</v>
      </c>
    </row>
    <row r="9" spans="1:3" ht="22.8" x14ac:dyDescent="0.3">
      <c r="A9" s="10">
        <v>7.21</v>
      </c>
      <c r="B9" s="10">
        <v>1567</v>
      </c>
      <c r="C9" s="10">
        <v>28.5</v>
      </c>
    </row>
    <row r="10" spans="1:3" ht="22.8" x14ac:dyDescent="0.3">
      <c r="A10" s="10">
        <v>7.21</v>
      </c>
      <c r="B10" s="10">
        <v>1519</v>
      </c>
      <c r="C10" s="10">
        <v>28.44</v>
      </c>
    </row>
    <row r="11" spans="1:3" ht="22.8" x14ac:dyDescent="0.3">
      <c r="A11" s="10">
        <v>7.21</v>
      </c>
      <c r="B11" s="10">
        <v>1423</v>
      </c>
      <c r="C11" s="10">
        <v>28.44</v>
      </c>
    </row>
    <row r="12" spans="1:3" ht="22.8" x14ac:dyDescent="0.3">
      <c r="A12" s="10">
        <v>7.22</v>
      </c>
      <c r="B12" s="10">
        <v>1358</v>
      </c>
      <c r="C12" s="10">
        <v>28.44</v>
      </c>
    </row>
    <row r="13" spans="1:3" ht="22.8" x14ac:dyDescent="0.3">
      <c r="A13" s="10">
        <v>7.21</v>
      </c>
      <c r="B13" s="10">
        <v>1275</v>
      </c>
      <c r="C13" s="10">
        <v>28.44</v>
      </c>
    </row>
    <row r="14" spans="1:3" ht="22.8" x14ac:dyDescent="0.3">
      <c r="A14" s="10">
        <v>7.21</v>
      </c>
      <c r="B14" s="10">
        <v>1200</v>
      </c>
      <c r="C14" s="10">
        <v>28.44</v>
      </c>
    </row>
    <row r="15" spans="1:3" ht="22.8" x14ac:dyDescent="0.3">
      <c r="A15" s="10">
        <v>7.22</v>
      </c>
      <c r="B15" s="10">
        <v>1136</v>
      </c>
      <c r="C15" s="10">
        <v>28.44</v>
      </c>
    </row>
    <row r="16" spans="1:3" ht="22.8" x14ac:dyDescent="0.3">
      <c r="A16" s="10">
        <v>7.25</v>
      </c>
      <c r="B16" s="10">
        <v>1091</v>
      </c>
      <c r="C16" s="10">
        <v>28.44</v>
      </c>
    </row>
    <row r="17" spans="1:3" ht="22.8" x14ac:dyDescent="0.3">
      <c r="A17" s="10">
        <v>7.21</v>
      </c>
      <c r="B17" s="10">
        <v>1055</v>
      </c>
      <c r="C17" s="10">
        <v>28.44</v>
      </c>
    </row>
    <row r="18" spans="1:3" ht="22.8" x14ac:dyDescent="0.3">
      <c r="A18" s="10">
        <v>7.21</v>
      </c>
      <c r="B18" s="10">
        <v>1023</v>
      </c>
      <c r="C18" s="10">
        <v>28.44</v>
      </c>
    </row>
    <row r="19" spans="1:3" ht="22.8" x14ac:dyDescent="0.3">
      <c r="A19" s="10">
        <v>7.21</v>
      </c>
      <c r="B19" s="10">
        <v>992</v>
      </c>
      <c r="C19" s="10">
        <v>28.44</v>
      </c>
    </row>
    <row r="20" spans="1:3" ht="22.8" x14ac:dyDescent="0.3">
      <c r="A20" s="10">
        <v>7.22</v>
      </c>
      <c r="B20" s="10">
        <v>976</v>
      </c>
      <c r="C20" s="10">
        <v>28.44</v>
      </c>
    </row>
    <row r="21" spans="1:3" ht="22.8" x14ac:dyDescent="0.3">
      <c r="A21" s="10">
        <v>7.22</v>
      </c>
      <c r="B21" s="10">
        <v>960</v>
      </c>
      <c r="C21" s="10">
        <v>28.44</v>
      </c>
    </row>
    <row r="22" spans="1:3" ht="22.8" x14ac:dyDescent="0.3">
      <c r="A22" s="10">
        <v>7.21</v>
      </c>
      <c r="B22" s="10">
        <v>942</v>
      </c>
      <c r="C22" s="10">
        <v>28.44</v>
      </c>
    </row>
    <row r="23" spans="1:3" ht="22.8" x14ac:dyDescent="0.3">
      <c r="A23" s="10">
        <v>7.21</v>
      </c>
      <c r="B23" s="10">
        <v>935</v>
      </c>
      <c r="C23" s="10">
        <v>28.44</v>
      </c>
    </row>
    <row r="24" spans="1:3" ht="22.8" x14ac:dyDescent="0.3">
      <c r="A24" s="10">
        <v>7.23</v>
      </c>
      <c r="B24" s="10">
        <v>919</v>
      </c>
      <c r="C24" s="10">
        <v>28.5</v>
      </c>
    </row>
    <row r="25" spans="1:3" ht="22.8" x14ac:dyDescent="0.3">
      <c r="A25" s="10">
        <v>7.21</v>
      </c>
      <c r="B25" s="10">
        <v>914</v>
      </c>
      <c r="C25" s="10">
        <v>28.44</v>
      </c>
    </row>
    <row r="26" spans="1:3" ht="22.8" x14ac:dyDescent="0.3">
      <c r="A26" s="10">
        <v>7.22</v>
      </c>
      <c r="B26" s="10">
        <v>909</v>
      </c>
      <c r="C26" s="10">
        <v>28.5</v>
      </c>
    </row>
    <row r="27" spans="1:3" ht="22.8" x14ac:dyDescent="0.3">
      <c r="A27" s="10">
        <v>7.21</v>
      </c>
      <c r="B27" s="10">
        <v>899</v>
      </c>
      <c r="C27" s="10">
        <v>28.44</v>
      </c>
    </row>
    <row r="28" spans="1:3" ht="22.8" x14ac:dyDescent="0.3">
      <c r="A28" s="10">
        <v>7.21</v>
      </c>
      <c r="B28" s="10">
        <v>894</v>
      </c>
      <c r="C28" s="10">
        <v>28.44</v>
      </c>
    </row>
    <row r="29" spans="1:3" ht="22.8" x14ac:dyDescent="0.3">
      <c r="A29" s="10">
        <v>7.23</v>
      </c>
      <c r="B29" s="10">
        <v>885</v>
      </c>
      <c r="C29" s="10">
        <v>28.5</v>
      </c>
    </row>
    <row r="30" spans="1:3" ht="22.8" x14ac:dyDescent="0.3">
      <c r="A30" s="10">
        <v>7.23</v>
      </c>
      <c r="B30" s="10">
        <v>880</v>
      </c>
      <c r="C30" s="10">
        <v>28.44</v>
      </c>
    </row>
    <row r="31" spans="1:3" ht="22.8" x14ac:dyDescent="0.3">
      <c r="A31" s="10">
        <v>7.22</v>
      </c>
      <c r="B31" s="10">
        <v>869</v>
      </c>
      <c r="C31" s="10">
        <v>28.5</v>
      </c>
    </row>
    <row r="32" spans="1:3" ht="22.8" x14ac:dyDescent="0.3">
      <c r="A32" s="10">
        <v>7.22</v>
      </c>
      <c r="B32" s="10">
        <v>871</v>
      </c>
      <c r="C32" s="10">
        <v>28.44</v>
      </c>
    </row>
    <row r="33" spans="1:4" ht="22.8" x14ac:dyDescent="0.3">
      <c r="A33" s="10">
        <v>7.22</v>
      </c>
      <c r="B33" s="10">
        <v>865</v>
      </c>
      <c r="C33" s="10">
        <v>28.5</v>
      </c>
    </row>
    <row r="34" spans="1:4" ht="22.8" x14ac:dyDescent="0.3">
      <c r="A34" s="10">
        <v>7.23</v>
      </c>
      <c r="B34" s="10">
        <v>861</v>
      </c>
      <c r="C34" s="10">
        <v>28.44</v>
      </c>
    </row>
    <row r="35" spans="1:4" ht="23.4" thickBot="1" x14ac:dyDescent="0.35">
      <c r="A35" s="10">
        <v>7.21</v>
      </c>
      <c r="B35" s="10">
        <v>857</v>
      </c>
      <c r="C35" s="10">
        <v>28.5</v>
      </c>
    </row>
    <row r="36" spans="1:4" ht="23.4" thickBot="1" x14ac:dyDescent="0.35">
      <c r="A36" s="19">
        <f>AVERAGE(A6:A35)</f>
        <v>7.2173333333333316</v>
      </c>
      <c r="B36" s="19">
        <f>AVERAGE(B6:B35)</f>
        <v>1085.8</v>
      </c>
      <c r="C36" s="19">
        <f>AVERAGE(C6:C35)</f>
        <v>28.454000000000011</v>
      </c>
      <c r="D36" s="20" t="s">
        <v>46</v>
      </c>
    </row>
    <row r="37" spans="1:4" ht="23.4" thickBot="1" x14ac:dyDescent="0.45">
      <c r="A37" s="17">
        <f>MAX(A6:A36)</f>
        <v>7.25</v>
      </c>
      <c r="B37" s="17">
        <f>MAX(B6:B36)</f>
        <v>1567</v>
      </c>
      <c r="C37" s="17">
        <f>MAX(C13:C36)</f>
        <v>28.5</v>
      </c>
      <c r="D37" s="18" t="s">
        <v>47</v>
      </c>
    </row>
    <row r="38" spans="1:4" ht="23.4" thickBot="1" x14ac:dyDescent="0.45">
      <c r="A38" s="21">
        <f>MIN(A6:A37)</f>
        <v>7.21</v>
      </c>
      <c r="B38" s="21">
        <f>MIN(B6:B37)</f>
        <v>857</v>
      </c>
      <c r="C38" s="21">
        <f>MIN(C13:C37)</f>
        <v>28.44</v>
      </c>
      <c r="D38" s="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Detection Thresholds</vt:lpstr>
      <vt:lpstr>Initial Test</vt:lpstr>
      <vt:lpstr>1-Hour Test</vt:lpstr>
      <vt:lpstr>3-Hour Test</vt:lpstr>
      <vt:lpstr>6-Hour Test</vt:lpstr>
      <vt:lpstr>12-Hour Test</vt:lpstr>
      <vt:lpstr>15-Hour Test</vt:lpstr>
      <vt:lpstr>24-Hour Test</vt:lpstr>
      <vt:lpstr>36-Hour Test</vt:lpstr>
      <vt:lpstr>48-Hour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Sithumini Anuhansi</dc:creator>
  <cp:lastModifiedBy>Sithumini Anuhansi</cp:lastModifiedBy>
  <cp:lastPrinted>2026-03-27T15:48:34Z</cp:lastPrinted>
  <dcterms:created xsi:type="dcterms:W3CDTF">2026-03-03T07:50:13Z</dcterms:created>
  <dcterms:modified xsi:type="dcterms:W3CDTF">2026-08-16T16:02:35Z</dcterms:modified>
</cp:coreProperties>
</file>